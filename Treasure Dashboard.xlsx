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unil\OneDrive\Desktop\sunil\extra\"/>
    </mc:Choice>
  </mc:AlternateContent>
  <xr:revisionPtr revIDLastSave="0" documentId="13_ncr:1_{D9586C7E-D902-47F5-BDEF-9CC722C96198}" xr6:coauthVersionLast="47" xr6:coauthVersionMax="47" xr10:uidLastSave="{00000000-0000-0000-0000-000000000000}"/>
  <bookViews>
    <workbookView xWindow="-120" yWindow="-120" windowWidth="20730" windowHeight="11040" tabRatio="750" activeTab="4" xr2:uid="{00000000-000D-0000-FFFF-FFFF00000000}"/>
  </bookViews>
  <sheets>
    <sheet name="jewels" sheetId="2" r:id="rId1"/>
    <sheet name="Custom Calendar" sheetId="3" r:id="rId2"/>
    <sheet name="Pivot-1" sheetId="1" r:id="rId3"/>
    <sheet name="Pivot-2" sheetId="4" r:id="rId4"/>
    <sheet name="Pivot-3" sheetId="6" r:id="rId5"/>
    <sheet name="Dashboard" sheetId="5" r:id="rId6"/>
  </sheets>
  <definedNames>
    <definedName name="_xlcn.WorksheetConnection_NewMicrosoftExcelWorksheet.xlsxCustom_Calendar1" hidden="1">Custom_Calendar[]</definedName>
    <definedName name="_xlcn.WorksheetConnection_NewMicrosoftExcelWorksheet.xlsxjewels1" hidden="1">jewels[]</definedName>
    <definedName name="ExternalData_1" localSheetId="1" hidden="1">'Custom Calendar'!$A$1:$A$1462</definedName>
    <definedName name="ExternalData_1" localSheetId="0" hidden="1">jewels!$A$1:$P$501</definedName>
    <definedName name="Slicer_Month_Name">#N/A</definedName>
    <definedName name="Slicer_Region">#N/A</definedName>
    <definedName name="Slicer_Year">#N/A</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ewels" name="jewels" connection="WorksheetConnection_New Microsoft Excel Worksheet.xlsx!jewels"/>
          <x15:modelTable id="Custom_Calendar" name="Custom_Calendar" connection="WorksheetConnection_New Microsoft Excel Worksheet.xlsx!Custom_Calendar"/>
        </x15:modelTables>
        <x15:modelRelationships>
          <x15:modelRelationship fromTable="jewels" fromColumn="Date" toTable="Custom_Calendar" toColumn="Custom Date"/>
        </x15:modelRelationships>
        <x15:extLst>
          <ext xmlns:x16="http://schemas.microsoft.com/office/spreadsheetml/2014/11/main" uri="{9835A34E-60A6-4A7C-AAB8-D5F71C897F49}">
            <x16:modelTimeGroupings>
              <x16:modelTimeGrouping tableName="Custom_Calendar" columnName="Custom Date" columnId="Custom Date">
                <x16:calculatedTimeColumn columnName="Custom Date (Year)" columnId="Custom Date (Year)" contentType="years" isSelected="1"/>
                <x16:calculatedTimeColumn columnName="Custom Date (Quarter)" columnId="Custom Date (Quarter)" contentType="quarters" isSelected="1"/>
                <x16:calculatedTimeColumn columnName="Custom Date (Month Index)" columnId="Custom Date (Month Index)" contentType="monthsindex" isSelected="1"/>
                <x16:calculatedTimeColumn columnName="Custom Date (Month)" columnId="Custom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6A1514A-F8DC-46A8-9CFC-CAC561C0FE09}" keepAlive="1" name="Query - Custom Calendar" description="Connection to the 'Custom Calendar' query in the workbook." type="5" refreshedVersion="8" background="1" saveData="1">
    <dbPr connection="Provider=Microsoft.Mashup.OleDb.1;Data Source=$Workbook$;Location=&quot;Custom Calendar&quot;;Extended Properties=&quot;&quot;" command="SELECT * FROM [Custom Calendar]"/>
  </connection>
  <connection id="2" xr16:uid="{C46A0245-CBB9-41E0-B1CD-9A994FF0943C}" keepAlive="1" name="Query - jewels" description="Connection to the 'jewels' query in the workbook." type="5" refreshedVersion="8" background="1" saveData="1">
    <dbPr connection="Provider=Microsoft.Mashup.OleDb.1;Data Source=$Workbook$;Location=jewels;Extended Properties=&quot;&quot;" command="SELECT * FROM [jewels]"/>
  </connection>
  <connection id="3" xr16:uid="{A9DFEDC2-8ABD-497A-817B-71394D404E5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1F04DBC3-16BE-4E74-9749-C9416FADEC3B}" name="WorksheetConnection_New Microsoft Excel Worksheet.xlsx!Custom_Calendar" type="102" refreshedVersion="8" minRefreshableVersion="5">
    <extLst>
      <ext xmlns:x15="http://schemas.microsoft.com/office/spreadsheetml/2010/11/main" uri="{DE250136-89BD-433C-8126-D09CA5730AF9}">
        <x15:connection id="Custom_Calendar">
          <x15:rangePr sourceName="_xlcn.WorksheetConnection_NewMicrosoftExcelWorksheet.xlsxCustom_Calendar1"/>
        </x15:connection>
      </ext>
    </extLst>
  </connection>
  <connection id="5" xr16:uid="{5212CDC8-9D87-4953-87A5-1AB3F8F873F2}" name="WorksheetConnection_New Microsoft Excel Worksheet.xlsx!jewels" type="102" refreshedVersion="8" minRefreshableVersion="5">
    <extLst>
      <ext xmlns:x15="http://schemas.microsoft.com/office/spreadsheetml/2010/11/main" uri="{DE250136-89BD-433C-8126-D09CA5730AF9}">
        <x15:connection id="jewels">
          <x15:rangePr sourceName="_xlcn.WorksheetConnection_NewMicrosoftExcelWorksheet.xlsxjewels1"/>
        </x15:connection>
      </ext>
    </extLst>
  </connection>
</connections>
</file>

<file path=xl/sharedStrings.xml><?xml version="1.0" encoding="utf-8"?>
<sst xmlns="http://schemas.openxmlformats.org/spreadsheetml/2006/main" count="2682" uniqueCount="101">
  <si>
    <t>Sr No</t>
  </si>
  <si>
    <t>Date</t>
  </si>
  <si>
    <t>Year</t>
  </si>
  <si>
    <t>Month No</t>
  </si>
  <si>
    <t>Month Name</t>
  </si>
  <si>
    <t>Product_ID</t>
  </si>
  <si>
    <t>Product_Name</t>
  </si>
  <si>
    <t>Category</t>
  </si>
  <si>
    <t>Vendor</t>
  </si>
  <si>
    <t>Region</t>
  </si>
  <si>
    <t>Stock_Qty</t>
  </si>
  <si>
    <t>Unit Price</t>
  </si>
  <si>
    <t>Sales_Qty</t>
  </si>
  <si>
    <t>Total Sales Value</t>
  </si>
  <si>
    <t>June</t>
  </si>
  <si>
    <t>Ruby &amp; Emerald Earring</t>
  </si>
  <si>
    <t>Earrings</t>
  </si>
  <si>
    <t>E</t>
  </si>
  <si>
    <t>Ahmedabad</t>
  </si>
  <si>
    <t>February</t>
  </si>
  <si>
    <t>Ruby &amp; Emerald Pendant</t>
  </si>
  <si>
    <t>Pendant</t>
  </si>
  <si>
    <t>D</t>
  </si>
  <si>
    <t>Kolhapur</t>
  </si>
  <si>
    <t>April</t>
  </si>
  <si>
    <t>Ruby &amp; Emerald Necklace</t>
  </si>
  <si>
    <t>Necklace</t>
  </si>
  <si>
    <t>F</t>
  </si>
  <si>
    <t>Bangalore</t>
  </si>
  <si>
    <t>C</t>
  </si>
  <si>
    <t>Surat</t>
  </si>
  <si>
    <t>Diamond Necklace</t>
  </si>
  <si>
    <t>Baroda</t>
  </si>
  <si>
    <t>September</t>
  </si>
  <si>
    <t>Emerald Ring</t>
  </si>
  <si>
    <t>Rings</t>
  </si>
  <si>
    <t>Diamond Earring</t>
  </si>
  <si>
    <t>December</t>
  </si>
  <si>
    <t>Diamond Ring</t>
  </si>
  <si>
    <t>B</t>
  </si>
  <si>
    <t>A</t>
  </si>
  <si>
    <t>January</t>
  </si>
  <si>
    <t>Emerald Necklace</t>
  </si>
  <si>
    <t>March</t>
  </si>
  <si>
    <t>Delhi</t>
  </si>
  <si>
    <t>Mumbai</t>
  </si>
  <si>
    <t>Ruby Ring</t>
  </si>
  <si>
    <t>Jaipur</t>
  </si>
  <si>
    <t>Emerald Earring</t>
  </si>
  <si>
    <t>July</t>
  </si>
  <si>
    <t>Solapur</t>
  </si>
  <si>
    <t>August</t>
  </si>
  <si>
    <t>Diamond Pendant</t>
  </si>
  <si>
    <t>May</t>
  </si>
  <si>
    <t>Emerald Pendant</t>
  </si>
  <si>
    <t>Ruby &amp; Emerald Bracelet</t>
  </si>
  <si>
    <t>Bracelets</t>
  </si>
  <si>
    <t>Pearl Ring</t>
  </si>
  <si>
    <t>November</t>
  </si>
  <si>
    <t>Diamond Bracelet</t>
  </si>
  <si>
    <t>Ruby Earring</t>
  </si>
  <si>
    <t>October</t>
  </si>
  <si>
    <t>Emerald Bracelet</t>
  </si>
  <si>
    <t>Ruby Pendant</t>
  </si>
  <si>
    <t>Ruby Necklace</t>
  </si>
  <si>
    <t>Ruby Bracelet</t>
  </si>
  <si>
    <t>Sum of Total Sales Value</t>
  </si>
  <si>
    <t>Sum of Sales_Qty</t>
  </si>
  <si>
    <t>Row Labels</t>
  </si>
  <si>
    <t>Grand Total</t>
  </si>
  <si>
    <t>2020</t>
  </si>
  <si>
    <t>2021</t>
  </si>
  <si>
    <t>2022</t>
  </si>
  <si>
    <t>2023</t>
  </si>
  <si>
    <t>2024</t>
  </si>
  <si>
    <t>Qtr2</t>
  </si>
  <si>
    <t>Qtr3</t>
  </si>
  <si>
    <t>Qtr4</t>
  </si>
  <si>
    <t>Apr</t>
  </si>
  <si>
    <t>Jun</t>
  </si>
  <si>
    <t>Jul</t>
  </si>
  <si>
    <t>Aug</t>
  </si>
  <si>
    <t>Sep</t>
  </si>
  <si>
    <t>Oct</t>
  </si>
  <si>
    <t>Nov</t>
  </si>
  <si>
    <t>Dec</t>
  </si>
  <si>
    <t>Custom Date</t>
  </si>
  <si>
    <t>Qtr1</t>
  </si>
  <si>
    <t>Jan</t>
  </si>
  <si>
    <t>Feb</t>
  </si>
  <si>
    <t>Mar</t>
  </si>
  <si>
    <t xml:space="preserve">Cost </t>
  </si>
  <si>
    <t>Cost Per Unit</t>
  </si>
  <si>
    <t>Profit</t>
  </si>
  <si>
    <t>profit %</t>
  </si>
  <si>
    <t>Sum of Cost Per Unit</t>
  </si>
  <si>
    <t>Product Name</t>
  </si>
  <si>
    <t>Average of Total Sales Value</t>
  </si>
  <si>
    <t>Category : Cost + Sales</t>
  </si>
  <si>
    <t>Category : Wise Sales</t>
  </si>
  <si>
    <t>The Treasure Metrics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</si>
</sst>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Calibri"/>
      <family val="2"/>
      <scheme val="minor"/>
    </font>
    <font>
      <sz val="11"/>
      <color theme="1"/>
      <name val="Bahnschrift Light"/>
      <family val="2"/>
    </font>
    <font>
      <sz val="40"/>
      <color theme="1"/>
      <name val="Bookman Old Style"/>
      <family val="1"/>
    </font>
  </fonts>
  <fills count="4">
    <fill>
      <patternFill patternType="none"/>
    </fill>
    <fill>
      <patternFill patternType="gray125"/>
    </fill>
    <fill>
      <patternFill patternType="solid">
        <fgColor rgb="FFFFC000"/>
        <bgColor indexed="64"/>
      </patternFill>
    </fill>
    <fill>
      <patternFill patternType="solid">
        <fgColor theme="9" tint="-0.49998474074526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8">
    <xf numFmtId="0" fontId="0" fillId="0" borderId="0" xfId="0"/>
    <xf numFmtId="14" fontId="0" fillId="0" borderId="0" xfId="0" applyNumberFormat="1"/>
    <xf numFmtId="0"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3" fontId="0" fillId="0" borderId="0" xfId="0" applyNumberFormat="1" applyAlignment="1">
      <alignment horizontal="center"/>
    </xf>
    <xf numFmtId="3" fontId="0" fillId="0" borderId="0" xfId="0" applyNumberFormat="1"/>
    <xf numFmtId="10" fontId="0" fillId="0" borderId="0" xfId="0" applyNumberFormat="1" applyAlignment="1">
      <alignment horizontal="center"/>
    </xf>
    <xf numFmtId="164" fontId="0" fillId="0" borderId="0" xfId="0" applyNumberFormat="1"/>
    <xf numFmtId="0" fontId="1" fillId="0" borderId="0" xfId="0" applyFont="1"/>
    <xf numFmtId="0" fontId="0" fillId="3" borderId="0" xfId="0" applyFill="1" applyBorder="1"/>
    <xf numFmtId="0" fontId="2" fillId="2" borderId="1"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0" xfId="0" applyFont="1" applyFill="1" applyBorder="1" applyAlignment="1">
      <alignment horizontal="center"/>
    </xf>
    <xf numFmtId="0" fontId="2" fillId="2" borderId="5" xfId="0" applyFont="1" applyFill="1" applyBorder="1" applyAlignment="1">
      <alignment horizontal="center"/>
    </xf>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cellXfs>
  <cellStyles count="1">
    <cellStyle name="Normal" xfId="0" builtinId="0"/>
  </cellStyles>
  <dxfs count="37">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3" formatCode="#,##0"/>
    </dxf>
    <dxf>
      <numFmt numFmtId="164" formatCode="&quot;₹&quot;\ #,##0"/>
    </dxf>
    <dxf>
      <numFmt numFmtId="164" formatCode="&quot;₹&quot;\ #,##0"/>
    </dxf>
    <dxf>
      <numFmt numFmtId="164" formatCode="&quot;₹&quot;\ #,##0"/>
    </dxf>
    <dxf>
      <numFmt numFmtId="164" formatCode="&quot;₹&quot;\ #,##0"/>
    </dxf>
    <dxf>
      <numFmt numFmtId="164" formatCode="&quot;₹&quot;\ #,##0"/>
    </dxf>
    <dxf>
      <numFmt numFmtId="19" formatCode="dd/mm/yyyy"/>
    </dxf>
    <dxf>
      <numFmt numFmtId="19" formatCode="dd/mm/yyyy"/>
    </dxf>
    <dxf>
      <numFmt numFmtId="19" formatCode="dd/mm/yyyy"/>
    </dxf>
    <dxf>
      <numFmt numFmtId="14" formatCode="0.0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numFmt numFmtId="3"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2.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3" Type="http://schemas.openxmlformats.org/officeDocument/2006/relationships/image" Target="../media/image1.jpg"/><Relationship Id="rId7" Type="http://schemas.openxmlformats.org/officeDocument/2006/relationships/image" Target="../media/image5.jpg"/><Relationship Id="rId2" Type="http://schemas.microsoft.com/office/2011/relationships/chartColorStyle" Target="colors1.xml"/><Relationship Id="rId1" Type="http://schemas.microsoft.com/office/2011/relationships/chartStyle" Target="style1.xml"/><Relationship Id="rId6" Type="http://schemas.openxmlformats.org/officeDocument/2006/relationships/image" Target="../media/image4.jpg"/><Relationship Id="rId5" Type="http://schemas.openxmlformats.org/officeDocument/2006/relationships/image" Target="../media/image3.jpg"/><Relationship Id="rId4" Type="http://schemas.openxmlformats.org/officeDocument/2006/relationships/image" Target="../media/image2.jpg"/></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Worksheet.xlsx]Pivot-1!PivotTable3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i="1" u="sng">
                <a:latin typeface="Book Antiqua" panose="02040602050305030304" pitchFamily="18" charset="0"/>
              </a:rPr>
              <a:t>Category</a:t>
            </a:r>
            <a:r>
              <a:rPr lang="en-US" sz="1600" i="1" u="sng" baseline="0">
                <a:latin typeface="Book Antiqua" panose="02040602050305030304" pitchFamily="18" charset="0"/>
              </a:rPr>
              <a:t> Wise Sales</a:t>
            </a:r>
            <a:endParaRPr lang="en-US" sz="1600" i="1" u="sng">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63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w="6350">
            <a:solidFill>
              <a:schemeClr val="tx1"/>
            </a:solidFill>
          </a:ln>
          <a:effectLst/>
        </c:spPr>
      </c:pivotFmt>
      <c:pivotFmt>
        <c:idx val="4"/>
        <c:spPr>
          <a:blipFill>
            <a:blip xmlns:r="http://schemas.openxmlformats.org/officeDocument/2006/relationships" r:embed="rId4"/>
            <a:stretch>
              <a:fillRect/>
            </a:stretch>
          </a:blipFill>
          <a:ln w="6350">
            <a:solidFill>
              <a:schemeClr val="tx1"/>
            </a:solidFill>
          </a:ln>
          <a:effectLst/>
        </c:spPr>
      </c:pivotFmt>
      <c:pivotFmt>
        <c:idx val="5"/>
        <c:spPr>
          <a:blipFill>
            <a:blip xmlns:r="http://schemas.openxmlformats.org/officeDocument/2006/relationships" r:embed="rId5"/>
            <a:stretch>
              <a:fillRect/>
            </a:stretch>
          </a:blipFill>
          <a:ln w="6350">
            <a:solidFill>
              <a:schemeClr val="tx1"/>
            </a:solidFill>
          </a:ln>
          <a:effectLst/>
        </c:spPr>
      </c:pivotFmt>
      <c:pivotFmt>
        <c:idx val="6"/>
        <c:spPr>
          <a:blipFill>
            <a:blip xmlns:r="http://schemas.openxmlformats.org/officeDocument/2006/relationships" r:embed="rId6"/>
            <a:stretch>
              <a:fillRect/>
            </a:stretch>
          </a:blipFill>
          <a:ln w="6350">
            <a:solidFill>
              <a:schemeClr val="tx1"/>
            </a:solidFill>
          </a:ln>
          <a:effectLst/>
        </c:spPr>
      </c:pivotFmt>
      <c:pivotFmt>
        <c:idx val="7"/>
        <c:spPr>
          <a:blipFill>
            <a:blip xmlns:r="http://schemas.openxmlformats.org/officeDocument/2006/relationships" r:embed="rId7"/>
            <a:stretch>
              <a:fillRect/>
            </a:stretch>
          </a:blipFill>
          <a:ln w="6350">
            <a:solidFill>
              <a:schemeClr val="tx1"/>
            </a:solidFill>
          </a:ln>
          <a:effectLst/>
        </c:spPr>
      </c:pivotFmt>
    </c:pivotFmts>
    <c:plotArea>
      <c:layout/>
      <c:barChart>
        <c:barDir val="col"/>
        <c:grouping val="stacked"/>
        <c:varyColors val="0"/>
        <c:ser>
          <c:idx val="0"/>
          <c:order val="0"/>
          <c:tx>
            <c:strRef>
              <c:f>'Pivot-1'!$B$11</c:f>
              <c:strCache>
                <c:ptCount val="1"/>
                <c:pt idx="0">
                  <c:v>Total</c:v>
                </c:pt>
              </c:strCache>
            </c:strRef>
          </c:tx>
          <c:spPr>
            <a:solidFill>
              <a:schemeClr val="accent1"/>
            </a:solidFill>
            <a:ln w="6350">
              <a:solidFill>
                <a:schemeClr val="tx1"/>
              </a:solidFill>
            </a:ln>
            <a:effectLst/>
          </c:spPr>
          <c:invertIfNegative val="0"/>
          <c:dPt>
            <c:idx val="0"/>
            <c:invertIfNegative val="0"/>
            <c:bubble3D val="0"/>
            <c:spPr>
              <a:blipFill>
                <a:blip xmlns:r="http://schemas.openxmlformats.org/officeDocument/2006/relationships" r:embed="rId3"/>
                <a:stretch>
                  <a:fillRect/>
                </a:stretch>
              </a:blipFill>
              <a:ln w="6350">
                <a:solidFill>
                  <a:schemeClr val="tx1"/>
                </a:solidFill>
              </a:ln>
              <a:effectLst/>
            </c:spPr>
            <c:pictureOptions>
              <c:pictureFormat val="stack"/>
            </c:pictureOptions>
            <c:extLst>
              <c:ext xmlns:c16="http://schemas.microsoft.com/office/drawing/2014/chart" uri="{C3380CC4-5D6E-409C-BE32-E72D297353CC}">
                <c16:uniqueId val="{00000001-90B6-44AF-83E3-610A6FAE00BE}"/>
              </c:ext>
            </c:extLst>
          </c:dPt>
          <c:dPt>
            <c:idx val="1"/>
            <c:invertIfNegative val="0"/>
            <c:bubble3D val="0"/>
            <c:spPr>
              <a:blipFill>
                <a:blip xmlns:r="http://schemas.openxmlformats.org/officeDocument/2006/relationships" r:embed="rId4"/>
                <a:stretch>
                  <a:fillRect/>
                </a:stretch>
              </a:blipFill>
              <a:ln w="6350">
                <a:solidFill>
                  <a:schemeClr val="tx1"/>
                </a:solidFill>
              </a:ln>
              <a:effectLst/>
            </c:spPr>
            <c:extLst>
              <c:ext xmlns:c16="http://schemas.microsoft.com/office/drawing/2014/chart" uri="{C3380CC4-5D6E-409C-BE32-E72D297353CC}">
                <c16:uniqueId val="{00000002-90B6-44AF-83E3-610A6FAE00BE}"/>
              </c:ext>
            </c:extLst>
          </c:dPt>
          <c:dPt>
            <c:idx val="2"/>
            <c:invertIfNegative val="0"/>
            <c:bubble3D val="0"/>
            <c:spPr>
              <a:blipFill>
                <a:blip xmlns:r="http://schemas.openxmlformats.org/officeDocument/2006/relationships" r:embed="rId6"/>
                <a:stretch>
                  <a:fillRect/>
                </a:stretch>
              </a:blipFill>
              <a:ln w="6350">
                <a:solidFill>
                  <a:schemeClr val="tx1"/>
                </a:solidFill>
              </a:ln>
              <a:effectLst/>
            </c:spPr>
            <c:pictureOptions>
              <c:pictureFormat val="stack"/>
            </c:pictureOptions>
            <c:extLst>
              <c:ext xmlns:c16="http://schemas.microsoft.com/office/drawing/2014/chart" uri="{C3380CC4-5D6E-409C-BE32-E72D297353CC}">
                <c16:uniqueId val="{00000004-90B6-44AF-83E3-610A6FAE00BE}"/>
              </c:ext>
            </c:extLst>
          </c:dPt>
          <c:dPt>
            <c:idx val="3"/>
            <c:invertIfNegative val="0"/>
            <c:bubble3D val="0"/>
            <c:spPr>
              <a:blipFill>
                <a:blip xmlns:r="http://schemas.openxmlformats.org/officeDocument/2006/relationships" r:embed="rId7"/>
                <a:stretch>
                  <a:fillRect/>
                </a:stretch>
              </a:blipFill>
              <a:ln w="6350">
                <a:solidFill>
                  <a:schemeClr val="tx1"/>
                </a:solidFill>
              </a:ln>
              <a:effectLst/>
            </c:spPr>
            <c:extLst>
              <c:ext xmlns:c16="http://schemas.microsoft.com/office/drawing/2014/chart" uri="{C3380CC4-5D6E-409C-BE32-E72D297353CC}">
                <c16:uniqueId val="{00000005-90B6-44AF-83E3-610A6FAE00BE}"/>
              </c:ext>
            </c:extLst>
          </c:dPt>
          <c:dPt>
            <c:idx val="4"/>
            <c:invertIfNegative val="0"/>
            <c:bubble3D val="0"/>
            <c:spPr>
              <a:blipFill>
                <a:blip xmlns:r="http://schemas.openxmlformats.org/officeDocument/2006/relationships" r:embed="rId5"/>
                <a:stretch>
                  <a:fillRect/>
                </a:stretch>
              </a:blipFill>
              <a:ln w="6350">
                <a:solidFill>
                  <a:schemeClr val="tx1"/>
                </a:solidFill>
              </a:ln>
              <a:effectLst/>
            </c:spPr>
            <c:pictureOptions>
              <c:pictureFormat val="stack"/>
            </c:pictureOptions>
            <c:extLst>
              <c:ext xmlns:c16="http://schemas.microsoft.com/office/drawing/2014/chart" uri="{C3380CC4-5D6E-409C-BE32-E72D297353CC}">
                <c16:uniqueId val="{00000003-90B6-44AF-83E3-610A6FAE00BE}"/>
              </c:ext>
            </c:extLst>
          </c:dPt>
          <c:cat>
            <c:strRef>
              <c:f>'Pivot-1'!$A$12:$A$17</c:f>
              <c:strCache>
                <c:ptCount val="5"/>
                <c:pt idx="0">
                  <c:v>Bracelets</c:v>
                </c:pt>
                <c:pt idx="1">
                  <c:v>Earrings</c:v>
                </c:pt>
                <c:pt idx="2">
                  <c:v>Necklace</c:v>
                </c:pt>
                <c:pt idx="3">
                  <c:v>Pendant</c:v>
                </c:pt>
                <c:pt idx="4">
                  <c:v>Rings</c:v>
                </c:pt>
              </c:strCache>
            </c:strRef>
          </c:cat>
          <c:val>
            <c:numRef>
              <c:f>'Pivot-1'!$B$12:$B$17</c:f>
              <c:numCache>
                <c:formatCode>"₹"\ #,##0</c:formatCode>
                <c:ptCount val="5"/>
                <c:pt idx="0">
                  <c:v>2551597139</c:v>
                </c:pt>
                <c:pt idx="1">
                  <c:v>2999010922</c:v>
                </c:pt>
                <c:pt idx="2">
                  <c:v>3117477420</c:v>
                </c:pt>
                <c:pt idx="3">
                  <c:v>2078180596</c:v>
                </c:pt>
                <c:pt idx="4">
                  <c:v>3914913887</c:v>
                </c:pt>
              </c:numCache>
            </c:numRef>
          </c:val>
          <c:extLst>
            <c:ext xmlns:c16="http://schemas.microsoft.com/office/drawing/2014/chart" uri="{C3380CC4-5D6E-409C-BE32-E72D297353CC}">
              <c16:uniqueId val="{00000000-90B6-44AF-83E3-610A6FAE00BE}"/>
            </c:ext>
          </c:extLst>
        </c:ser>
        <c:dLbls>
          <c:showLegendKey val="0"/>
          <c:showVal val="0"/>
          <c:showCatName val="0"/>
          <c:showSerName val="0"/>
          <c:showPercent val="0"/>
          <c:showBubbleSize val="0"/>
        </c:dLbls>
        <c:gapWidth val="5"/>
        <c:overlap val="100"/>
        <c:axId val="2087106848"/>
        <c:axId val="437250416"/>
      </c:barChart>
      <c:catAx>
        <c:axId val="208710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0000"/>
                </a:solidFill>
                <a:latin typeface="Book Antiqua" panose="02040602050305030304" pitchFamily="18" charset="0"/>
                <a:ea typeface="+mn-ea"/>
                <a:cs typeface="+mn-cs"/>
              </a:defRPr>
            </a:pPr>
            <a:endParaRPr lang="en-US"/>
          </a:p>
        </c:txPr>
        <c:crossAx val="437250416"/>
        <c:crosses val="autoZero"/>
        <c:auto val="1"/>
        <c:lblAlgn val="ctr"/>
        <c:lblOffset val="100"/>
        <c:noMultiLvlLbl val="0"/>
      </c:catAx>
      <c:valAx>
        <c:axId val="4372504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in"/>
        <c:minorTickMark val="out"/>
        <c:tickLblPos val="nextTo"/>
        <c:spPr>
          <a:noFill/>
          <a:ln>
            <a:solidFill>
              <a:schemeClr val="accent6"/>
            </a:solidFill>
          </a:ln>
          <a:effectLst/>
        </c:spPr>
        <c:txPr>
          <a:bodyPr rot="-60000000" spcFirstLastPara="1" vertOverflow="ellipsis" vert="horz" wrap="square" anchor="ctr" anchorCtr="1"/>
          <a:lstStyle/>
          <a:p>
            <a:pPr>
              <a:defRPr sz="900" b="0" i="0" u="none" strike="noStrike" kern="1200" baseline="0">
                <a:solidFill>
                  <a:srgbClr val="00B0F0"/>
                </a:solidFill>
                <a:latin typeface="Book Antiqua" panose="02040602050305030304" pitchFamily="18" charset="0"/>
                <a:ea typeface="+mn-ea"/>
                <a:cs typeface="+mn-cs"/>
              </a:defRPr>
            </a:pPr>
            <a:endParaRPr lang="en-US"/>
          </a:p>
        </c:txPr>
        <c:crossAx val="208710684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i="1" u="sng">
                <a:latin typeface="Book Antiqua" panose="02040602050305030304" pitchFamily="18" charset="0"/>
              </a:rPr>
              <a:t>Unit Economics : Cost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tx1"/>
            </a:solidFill>
          </a:ln>
          <a:effectLst/>
          <a:sp3d>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'Pivot-1'!$B$19</c:f>
              <c:strCache>
                <c:ptCount val="1"/>
                <c:pt idx="0">
                  <c:v>Sum of Cost Per Unit</c:v>
                </c:pt>
              </c:strCache>
            </c:strRef>
          </c:tx>
          <c:spPr>
            <a:solidFill>
              <a:schemeClr val="accent1"/>
            </a:solidFill>
            <a:ln>
              <a:solidFill>
                <a:schemeClr val="tx1"/>
              </a:solidFill>
            </a:ln>
            <a:effectLst/>
            <a:sp3d>
              <a:contourClr>
                <a:schemeClr val="tx1"/>
              </a:contourClr>
            </a:sp3d>
          </c:spPr>
          <c:invertIfNegative val="0"/>
          <c:cat>
            <c:strRef>
              <c:f>'Pivot-1'!$A$20:$A$25</c:f>
              <c:strCache>
                <c:ptCount val="5"/>
                <c:pt idx="0">
                  <c:v>Bracelets</c:v>
                </c:pt>
                <c:pt idx="1">
                  <c:v>Earrings</c:v>
                </c:pt>
                <c:pt idx="2">
                  <c:v>Necklace</c:v>
                </c:pt>
                <c:pt idx="3">
                  <c:v>Pendant</c:v>
                </c:pt>
                <c:pt idx="4">
                  <c:v>Rings</c:v>
                </c:pt>
              </c:strCache>
            </c:strRef>
          </c:cat>
          <c:val>
            <c:numRef>
              <c:f>'Pivot-1'!$B$20:$B$25</c:f>
              <c:numCache>
                <c:formatCode>"₹"\ #,##0</c:formatCode>
                <c:ptCount val="5"/>
                <c:pt idx="0">
                  <c:v>1822569385.0000002</c:v>
                </c:pt>
                <c:pt idx="1">
                  <c:v>2142150658.5714285</c:v>
                </c:pt>
                <c:pt idx="2">
                  <c:v>2226769585.7142849</c:v>
                </c:pt>
                <c:pt idx="3">
                  <c:v>1484414711.4285715</c:v>
                </c:pt>
                <c:pt idx="4">
                  <c:v>2796367062.1428571</c:v>
                </c:pt>
              </c:numCache>
            </c:numRef>
          </c:val>
          <c:shape val="pyramid"/>
          <c:extLst>
            <c:ext xmlns:c16="http://schemas.microsoft.com/office/drawing/2014/chart" uri="{C3380CC4-5D6E-409C-BE32-E72D297353CC}">
              <c16:uniqueId val="{00000000-B9A4-410F-831E-C2C22D6370E1}"/>
            </c:ext>
          </c:extLst>
        </c:ser>
        <c:ser>
          <c:idx val="1"/>
          <c:order val="1"/>
          <c:tx>
            <c:strRef>
              <c:f>'Pivot-1'!$C$19</c:f>
              <c:strCache>
                <c:ptCount val="1"/>
                <c:pt idx="0">
                  <c:v>Sum of Total Sales Value</c:v>
                </c:pt>
              </c:strCache>
            </c:strRef>
          </c:tx>
          <c:spPr>
            <a:solidFill>
              <a:schemeClr val="accent2"/>
            </a:solidFill>
            <a:ln>
              <a:solidFill>
                <a:schemeClr val="tx1"/>
              </a:solidFill>
            </a:ln>
            <a:effectLst/>
            <a:sp3d>
              <a:contourClr>
                <a:schemeClr val="tx1"/>
              </a:contourClr>
            </a:sp3d>
          </c:spPr>
          <c:invertIfNegative val="0"/>
          <c:cat>
            <c:strRef>
              <c:f>'Pivot-1'!$A$20:$A$25</c:f>
              <c:strCache>
                <c:ptCount val="5"/>
                <c:pt idx="0">
                  <c:v>Bracelets</c:v>
                </c:pt>
                <c:pt idx="1">
                  <c:v>Earrings</c:v>
                </c:pt>
                <c:pt idx="2">
                  <c:v>Necklace</c:v>
                </c:pt>
                <c:pt idx="3">
                  <c:v>Pendant</c:v>
                </c:pt>
                <c:pt idx="4">
                  <c:v>Rings</c:v>
                </c:pt>
              </c:strCache>
            </c:strRef>
          </c:cat>
          <c:val>
            <c:numRef>
              <c:f>'Pivot-1'!$C$20:$C$25</c:f>
              <c:numCache>
                <c:formatCode>"₹"\ #,##0</c:formatCode>
                <c:ptCount val="5"/>
                <c:pt idx="0">
                  <c:v>2551597139</c:v>
                </c:pt>
                <c:pt idx="1">
                  <c:v>2999010922</c:v>
                </c:pt>
                <c:pt idx="2">
                  <c:v>3117477420</c:v>
                </c:pt>
                <c:pt idx="3">
                  <c:v>2078180596</c:v>
                </c:pt>
                <c:pt idx="4">
                  <c:v>3914913887</c:v>
                </c:pt>
              </c:numCache>
            </c:numRef>
          </c:val>
          <c:shape val="pyramid"/>
          <c:extLst>
            <c:ext xmlns:c16="http://schemas.microsoft.com/office/drawing/2014/chart" uri="{C3380CC4-5D6E-409C-BE32-E72D297353CC}">
              <c16:uniqueId val="{00000001-B9A4-410F-831E-C2C22D6370E1}"/>
            </c:ext>
          </c:extLst>
        </c:ser>
        <c:dLbls>
          <c:showLegendKey val="0"/>
          <c:showVal val="0"/>
          <c:showCatName val="0"/>
          <c:showSerName val="0"/>
          <c:showPercent val="0"/>
          <c:showBubbleSize val="0"/>
        </c:dLbls>
        <c:gapWidth val="150"/>
        <c:shape val="box"/>
        <c:axId val="1917820880"/>
        <c:axId val="1908416784"/>
        <c:axId val="0"/>
      </c:bar3DChart>
      <c:catAx>
        <c:axId val="1917820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FF0000"/>
                </a:solidFill>
                <a:latin typeface="Book Antiqua" panose="02040602050305030304" pitchFamily="18" charset="0"/>
                <a:ea typeface="+mn-ea"/>
                <a:cs typeface="+mn-cs"/>
              </a:defRPr>
            </a:pPr>
            <a:endParaRPr lang="en-US"/>
          </a:p>
        </c:txPr>
        <c:crossAx val="1908416784"/>
        <c:crosses val="autoZero"/>
        <c:auto val="1"/>
        <c:lblAlgn val="ctr"/>
        <c:lblOffset val="100"/>
        <c:noMultiLvlLbl val="0"/>
      </c:catAx>
      <c:valAx>
        <c:axId val="1908416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out"/>
        <c:minorTickMark val="in"/>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Book Antiqua" panose="02040602050305030304" pitchFamily="18" charset="0"/>
                <a:ea typeface="+mn-ea"/>
                <a:cs typeface="+mn-cs"/>
              </a:defRPr>
            </a:pPr>
            <a:endParaRPr lang="en-US"/>
          </a:p>
        </c:txPr>
        <c:crossAx val="1917820880"/>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i="1" u="sng">
                <a:latin typeface="Book Antiqua" panose="02040602050305030304" pitchFamily="18" charset="0"/>
              </a:rPr>
              <a:t>Annual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tx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92D050"/>
          </a:solidFill>
          <a:ln>
            <a:solidFill>
              <a:schemeClr val="tx1"/>
            </a:solidFill>
          </a:ln>
          <a:effectLst/>
        </c:spPr>
        <c:dLbl>
          <c:idx val="0"/>
          <c:layout>
            <c:manualLayout>
              <c:x val="7.9207920792079209E-3"/>
              <c:y val="-0.3703703703703704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FF00"/>
          </a:solidFill>
          <a:ln>
            <a:solidFill>
              <a:schemeClr val="tx1"/>
            </a:solidFill>
          </a:ln>
          <a:effectLst/>
        </c:spPr>
        <c:dLbl>
          <c:idx val="0"/>
          <c:layout>
            <c:manualLayout>
              <c:x val="0"/>
              <c:y val="-0.300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4">
              <a:lumMod val="75000"/>
            </a:schemeClr>
          </a:solidFill>
          <a:ln>
            <a:solidFill>
              <a:schemeClr val="tx1"/>
            </a:solidFill>
          </a:ln>
          <a:effectLst/>
        </c:spPr>
        <c:dLbl>
          <c:idx val="0"/>
          <c:layout>
            <c:manualLayout>
              <c:x val="1.0561056105610464E-2"/>
              <c:y val="-0.3101851851851852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7030A0"/>
          </a:solidFill>
          <a:ln>
            <a:solidFill>
              <a:schemeClr val="tx1"/>
            </a:solidFill>
          </a:ln>
          <a:effectLst/>
        </c:spPr>
        <c:dLbl>
          <c:idx val="0"/>
          <c:layout>
            <c:manualLayout>
              <c:x val="7.9207920792079209E-3"/>
              <c:y val="-0.1296296296296296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a:solidFill>
              <a:schemeClr val="tx1"/>
            </a:solidFill>
          </a:ln>
          <a:effectLst/>
        </c:spPr>
        <c:dLbl>
          <c:idx val="0"/>
          <c:layout>
            <c:manualLayout>
              <c:x val="5.2805280528052563E-3"/>
              <c:y val="-0.3009259259259259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'Pivot-1'!$B$28</c:f>
              <c:strCache>
                <c:ptCount val="1"/>
                <c:pt idx="0">
                  <c:v>Total</c:v>
                </c:pt>
              </c:strCache>
            </c:strRef>
          </c:tx>
          <c:spPr>
            <a:solidFill>
              <a:schemeClr val="accent1"/>
            </a:solidFill>
            <a:ln>
              <a:solidFill>
                <a:schemeClr val="tx1"/>
              </a:solidFill>
            </a:ln>
            <a:effectLst/>
          </c:spPr>
          <c:invertIfNegative val="0"/>
          <c:dPt>
            <c:idx val="0"/>
            <c:invertIfNegative val="0"/>
            <c:bubble3D val="0"/>
            <c:spPr>
              <a:solidFill>
                <a:schemeClr val="accent1"/>
              </a:solidFill>
              <a:ln>
                <a:solidFill>
                  <a:schemeClr val="tx1"/>
                </a:solidFill>
              </a:ln>
              <a:effectLst/>
            </c:spPr>
            <c:extLst>
              <c:ext xmlns:c16="http://schemas.microsoft.com/office/drawing/2014/chart" uri="{C3380CC4-5D6E-409C-BE32-E72D297353CC}">
                <c16:uniqueId val="{00000005-9502-4DD7-80CE-FA82B6010132}"/>
              </c:ext>
            </c:extLst>
          </c:dPt>
          <c:dPt>
            <c:idx val="1"/>
            <c:invertIfNegative val="0"/>
            <c:bubble3D val="0"/>
            <c:spPr>
              <a:solidFill>
                <a:srgbClr val="92D050"/>
              </a:solidFill>
              <a:ln>
                <a:solidFill>
                  <a:schemeClr val="tx1"/>
                </a:solidFill>
              </a:ln>
              <a:effectLst/>
            </c:spPr>
            <c:extLst>
              <c:ext xmlns:c16="http://schemas.microsoft.com/office/drawing/2014/chart" uri="{C3380CC4-5D6E-409C-BE32-E72D297353CC}">
                <c16:uniqueId val="{00000001-9502-4DD7-80CE-FA82B6010132}"/>
              </c:ext>
            </c:extLst>
          </c:dPt>
          <c:dPt>
            <c:idx val="2"/>
            <c:invertIfNegative val="0"/>
            <c:bubble3D val="0"/>
            <c:spPr>
              <a:solidFill>
                <a:srgbClr val="FFFF00"/>
              </a:solidFill>
              <a:ln>
                <a:solidFill>
                  <a:schemeClr val="tx1"/>
                </a:solidFill>
              </a:ln>
              <a:effectLst/>
            </c:spPr>
            <c:extLst>
              <c:ext xmlns:c16="http://schemas.microsoft.com/office/drawing/2014/chart" uri="{C3380CC4-5D6E-409C-BE32-E72D297353CC}">
                <c16:uniqueId val="{00000002-9502-4DD7-80CE-FA82B6010132}"/>
              </c:ext>
            </c:extLst>
          </c:dPt>
          <c:dPt>
            <c:idx val="3"/>
            <c:invertIfNegative val="0"/>
            <c:bubble3D val="0"/>
            <c:spPr>
              <a:solidFill>
                <a:schemeClr val="accent4">
                  <a:lumMod val="75000"/>
                </a:schemeClr>
              </a:solidFill>
              <a:ln>
                <a:solidFill>
                  <a:schemeClr val="tx1"/>
                </a:solidFill>
              </a:ln>
              <a:effectLst/>
            </c:spPr>
            <c:extLst>
              <c:ext xmlns:c16="http://schemas.microsoft.com/office/drawing/2014/chart" uri="{C3380CC4-5D6E-409C-BE32-E72D297353CC}">
                <c16:uniqueId val="{00000003-9502-4DD7-80CE-FA82B6010132}"/>
              </c:ext>
            </c:extLst>
          </c:dPt>
          <c:dPt>
            <c:idx val="4"/>
            <c:invertIfNegative val="0"/>
            <c:bubble3D val="0"/>
            <c:spPr>
              <a:solidFill>
                <a:srgbClr val="7030A0"/>
              </a:solidFill>
              <a:ln>
                <a:solidFill>
                  <a:schemeClr val="tx1"/>
                </a:solidFill>
              </a:ln>
              <a:effectLst/>
            </c:spPr>
            <c:extLst>
              <c:ext xmlns:c16="http://schemas.microsoft.com/office/drawing/2014/chart" uri="{C3380CC4-5D6E-409C-BE32-E72D297353CC}">
                <c16:uniqueId val="{00000004-9502-4DD7-80CE-FA82B6010132}"/>
              </c:ext>
            </c:extLst>
          </c:dPt>
          <c:dLbls>
            <c:dLbl>
              <c:idx val="0"/>
              <c:layout>
                <c:manualLayout>
                  <c:x val="5.2805280528052563E-3"/>
                  <c:y val="-0.300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02-4DD7-80CE-FA82B6010132}"/>
                </c:ext>
              </c:extLst>
            </c:dLbl>
            <c:dLbl>
              <c:idx val="1"/>
              <c:layout>
                <c:manualLayout>
                  <c:x val="7.9207920792079209E-3"/>
                  <c:y val="-0.37037037037037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02-4DD7-80CE-FA82B6010132}"/>
                </c:ext>
              </c:extLst>
            </c:dLbl>
            <c:dLbl>
              <c:idx val="2"/>
              <c:layout>
                <c:manualLayout>
                  <c:x val="0"/>
                  <c:y val="-0.300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02-4DD7-80CE-FA82B6010132}"/>
                </c:ext>
              </c:extLst>
            </c:dLbl>
            <c:dLbl>
              <c:idx val="3"/>
              <c:layout>
                <c:manualLayout>
                  <c:x val="1.0561056105610464E-2"/>
                  <c:y val="-0.310185185185185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02-4DD7-80CE-FA82B6010132}"/>
                </c:ext>
              </c:extLst>
            </c:dLbl>
            <c:dLbl>
              <c:idx val="4"/>
              <c:layout>
                <c:manualLayout>
                  <c:x val="7.9207920792079209E-3"/>
                  <c:y val="-0.129629629629629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02-4DD7-80CE-FA82B601013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'Pivot-1'!$A$29:$A$34</c:f>
              <c:strCache>
                <c:ptCount val="5"/>
                <c:pt idx="0">
                  <c:v>2020</c:v>
                </c:pt>
                <c:pt idx="1">
                  <c:v>2021</c:v>
                </c:pt>
                <c:pt idx="2">
                  <c:v>2022</c:v>
                </c:pt>
                <c:pt idx="3">
                  <c:v>2023</c:v>
                </c:pt>
                <c:pt idx="4">
                  <c:v>2024</c:v>
                </c:pt>
              </c:strCache>
            </c:strRef>
          </c:cat>
          <c:val>
            <c:numRef>
              <c:f>'Pivot-1'!$B$29:$B$34</c:f>
              <c:numCache>
                <c:formatCode>"₹"\ #,##0</c:formatCode>
                <c:ptCount val="5"/>
                <c:pt idx="0">
                  <c:v>3087432038</c:v>
                </c:pt>
                <c:pt idx="1">
                  <c:v>4024023269</c:v>
                </c:pt>
                <c:pt idx="2">
                  <c:v>3068680931</c:v>
                </c:pt>
                <c:pt idx="3">
                  <c:v>3454613411</c:v>
                </c:pt>
                <c:pt idx="4">
                  <c:v>1026430315</c:v>
                </c:pt>
              </c:numCache>
            </c:numRef>
          </c:val>
          <c:extLst>
            <c:ext xmlns:c16="http://schemas.microsoft.com/office/drawing/2014/chart" uri="{C3380CC4-5D6E-409C-BE32-E72D297353CC}">
              <c16:uniqueId val="{00000000-9502-4DD7-80CE-FA82B6010132}"/>
            </c:ext>
          </c:extLst>
        </c:ser>
        <c:dLbls>
          <c:showLegendKey val="0"/>
          <c:showVal val="0"/>
          <c:showCatName val="0"/>
          <c:showSerName val="0"/>
          <c:showPercent val="0"/>
          <c:showBubbleSize val="0"/>
        </c:dLbls>
        <c:gapWidth val="10"/>
        <c:overlap val="100"/>
        <c:axId val="1272269968"/>
        <c:axId val="1272276208"/>
      </c:barChart>
      <c:catAx>
        <c:axId val="127226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0000"/>
                </a:solidFill>
                <a:latin typeface="Book Antiqua" panose="02040602050305030304" pitchFamily="18" charset="0"/>
                <a:ea typeface="+mn-ea"/>
                <a:cs typeface="+mn-cs"/>
              </a:defRPr>
            </a:pPr>
            <a:endParaRPr lang="en-US"/>
          </a:p>
        </c:txPr>
        <c:crossAx val="1272276208"/>
        <c:crosses val="autoZero"/>
        <c:auto val="1"/>
        <c:lblAlgn val="ctr"/>
        <c:lblOffset val="100"/>
        <c:noMultiLvlLbl val="0"/>
      </c:catAx>
      <c:valAx>
        <c:axId val="12722762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chemeClr val="accent4">
                    <a:lumMod val="50000"/>
                  </a:schemeClr>
                </a:solidFill>
                <a:latin typeface="Book Antiqua" panose="02040602050305030304" pitchFamily="18" charset="0"/>
                <a:ea typeface="+mn-ea"/>
                <a:cs typeface="+mn-cs"/>
              </a:defRPr>
            </a:pPr>
            <a:endParaRPr lang="en-US"/>
          </a:p>
        </c:txPr>
        <c:crossAx val="127226996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i="1" u="sng">
                <a:latin typeface="Book Antiqua" panose="02040602050305030304" pitchFamily="18" charset="0"/>
              </a:rPr>
              <a:t>Regional Performance : Cost Vs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73111909841784"/>
          <c:y val="0.18262080975889641"/>
          <c:w val="0.83388007320804791"/>
          <c:h val="0.55243266339649122"/>
        </c:manualLayout>
      </c:layout>
      <c:bar3DChart>
        <c:barDir val="col"/>
        <c:grouping val="standard"/>
        <c:varyColors val="0"/>
        <c:ser>
          <c:idx val="0"/>
          <c:order val="0"/>
          <c:tx>
            <c:strRef>
              <c:f>'Pivot-1'!$B$36</c:f>
              <c:strCache>
                <c:ptCount val="1"/>
                <c:pt idx="0">
                  <c:v>Sum of Cost Per Unit</c:v>
                </c:pt>
              </c:strCache>
            </c:strRef>
          </c:tx>
          <c:spPr>
            <a:solidFill>
              <a:schemeClr val="accent1"/>
            </a:solidFill>
            <a:ln>
              <a:noFill/>
            </a:ln>
            <a:effectLst/>
            <a:sp3d/>
          </c:spPr>
          <c:invertIfNegative val="0"/>
          <c:cat>
            <c:strRef>
              <c:f>'Pivot-1'!$A$37:$A$46</c:f>
              <c:strCache>
                <c:ptCount val="9"/>
                <c:pt idx="0">
                  <c:v>Mumbai</c:v>
                </c:pt>
                <c:pt idx="1">
                  <c:v>Ahmedabad</c:v>
                </c:pt>
                <c:pt idx="2">
                  <c:v>Bangalore</c:v>
                </c:pt>
                <c:pt idx="3">
                  <c:v>Baroda</c:v>
                </c:pt>
                <c:pt idx="4">
                  <c:v>Delhi</c:v>
                </c:pt>
                <c:pt idx="5">
                  <c:v>Jaipur</c:v>
                </c:pt>
                <c:pt idx="6">
                  <c:v>Kolhapur</c:v>
                </c:pt>
                <c:pt idx="7">
                  <c:v>Solapur</c:v>
                </c:pt>
                <c:pt idx="8">
                  <c:v>Surat</c:v>
                </c:pt>
              </c:strCache>
            </c:strRef>
          </c:cat>
          <c:val>
            <c:numRef>
              <c:f>'Pivot-1'!$B$37:$B$46</c:f>
              <c:numCache>
                <c:formatCode>"₹"\ #,##0</c:formatCode>
                <c:ptCount val="9"/>
                <c:pt idx="0">
                  <c:v>1284857522.8571429</c:v>
                </c:pt>
                <c:pt idx="1">
                  <c:v>1135841495.0000002</c:v>
                </c:pt>
                <c:pt idx="2">
                  <c:v>1314860892.8571427</c:v>
                </c:pt>
                <c:pt idx="3">
                  <c:v>1152409370.7142856</c:v>
                </c:pt>
                <c:pt idx="4">
                  <c:v>1210519475.7142854</c:v>
                </c:pt>
                <c:pt idx="5">
                  <c:v>972351203.57142878</c:v>
                </c:pt>
                <c:pt idx="6">
                  <c:v>1070920103.5714287</c:v>
                </c:pt>
                <c:pt idx="7">
                  <c:v>1138326939.2857146</c:v>
                </c:pt>
                <c:pt idx="8">
                  <c:v>1192184399.2857141</c:v>
                </c:pt>
              </c:numCache>
            </c:numRef>
          </c:val>
          <c:shape val="coneToMax"/>
          <c:extLst>
            <c:ext xmlns:c16="http://schemas.microsoft.com/office/drawing/2014/chart" uri="{C3380CC4-5D6E-409C-BE32-E72D297353CC}">
              <c16:uniqueId val="{00000000-8921-47D2-BADA-A2A146278DD9}"/>
            </c:ext>
          </c:extLst>
        </c:ser>
        <c:ser>
          <c:idx val="1"/>
          <c:order val="1"/>
          <c:tx>
            <c:strRef>
              <c:f>'Pivot-1'!$C$36</c:f>
              <c:strCache>
                <c:ptCount val="1"/>
                <c:pt idx="0">
                  <c:v>Sum of Total Sales Value</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'Pivot-1'!$A$37:$A$46</c:f>
              <c:strCache>
                <c:ptCount val="9"/>
                <c:pt idx="0">
                  <c:v>Mumbai</c:v>
                </c:pt>
                <c:pt idx="1">
                  <c:v>Ahmedabad</c:v>
                </c:pt>
                <c:pt idx="2">
                  <c:v>Bangalore</c:v>
                </c:pt>
                <c:pt idx="3">
                  <c:v>Baroda</c:v>
                </c:pt>
                <c:pt idx="4">
                  <c:v>Delhi</c:v>
                </c:pt>
                <c:pt idx="5">
                  <c:v>Jaipur</c:v>
                </c:pt>
                <c:pt idx="6">
                  <c:v>Kolhapur</c:v>
                </c:pt>
                <c:pt idx="7">
                  <c:v>Solapur</c:v>
                </c:pt>
                <c:pt idx="8">
                  <c:v>Surat</c:v>
                </c:pt>
              </c:strCache>
            </c:strRef>
          </c:cat>
          <c:val>
            <c:numRef>
              <c:f>'Pivot-1'!$C$37:$C$46</c:f>
              <c:numCache>
                <c:formatCode>"₹"\ #,##0</c:formatCode>
                <c:ptCount val="9"/>
                <c:pt idx="0">
                  <c:v>1798800532</c:v>
                </c:pt>
                <c:pt idx="1">
                  <c:v>1590178093</c:v>
                </c:pt>
                <c:pt idx="2">
                  <c:v>1840805250</c:v>
                </c:pt>
                <c:pt idx="3">
                  <c:v>1613373119</c:v>
                </c:pt>
                <c:pt idx="4">
                  <c:v>1694727266</c:v>
                </c:pt>
                <c:pt idx="5">
                  <c:v>1361291685</c:v>
                </c:pt>
                <c:pt idx="6">
                  <c:v>1499288145</c:v>
                </c:pt>
                <c:pt idx="7">
                  <c:v>1593657715</c:v>
                </c:pt>
                <c:pt idx="8">
                  <c:v>1669058159</c:v>
                </c:pt>
              </c:numCache>
            </c:numRef>
          </c:val>
          <c:shape val="cylinder"/>
          <c:extLst>
            <c:ext xmlns:c16="http://schemas.microsoft.com/office/drawing/2014/chart" uri="{C3380CC4-5D6E-409C-BE32-E72D297353CC}">
              <c16:uniqueId val="{00000001-8921-47D2-BADA-A2A146278DD9}"/>
            </c:ext>
          </c:extLst>
        </c:ser>
        <c:dLbls>
          <c:showLegendKey val="0"/>
          <c:showVal val="0"/>
          <c:showCatName val="0"/>
          <c:showSerName val="0"/>
          <c:showPercent val="0"/>
          <c:showBubbleSize val="0"/>
        </c:dLbls>
        <c:gapWidth val="150"/>
        <c:shape val="box"/>
        <c:axId val="1373218048"/>
        <c:axId val="1373225728"/>
        <c:axId val="1274355872"/>
      </c:bar3DChart>
      <c:catAx>
        <c:axId val="13732180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7030A0"/>
                </a:solidFill>
                <a:latin typeface="Book Antiqua" panose="02040602050305030304" pitchFamily="18" charset="0"/>
                <a:ea typeface="+mn-ea"/>
                <a:cs typeface="+mn-cs"/>
              </a:defRPr>
            </a:pPr>
            <a:endParaRPr lang="en-US"/>
          </a:p>
        </c:txPr>
        <c:crossAx val="1373225728"/>
        <c:crosses val="autoZero"/>
        <c:auto val="1"/>
        <c:lblAlgn val="ctr"/>
        <c:lblOffset val="100"/>
        <c:noMultiLvlLbl val="0"/>
      </c:catAx>
      <c:valAx>
        <c:axId val="13732257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in"/>
        <c:minorTickMark val="none"/>
        <c:tickLblPos val="nextTo"/>
        <c:spPr>
          <a:noFill/>
          <a:ln>
            <a:solidFill>
              <a:schemeClr val="tx1"/>
            </a:solidFill>
          </a:ln>
          <a:effectLst/>
        </c:spPr>
        <c:txPr>
          <a:bodyPr rot="-60000000" spcFirstLastPara="1" vertOverflow="ellipsis" vert="horz" wrap="square" anchor="ctr" anchorCtr="1"/>
          <a:lstStyle/>
          <a:p>
            <a:pPr>
              <a:defRPr sz="1000" b="0" i="0" u="none" strike="noStrike" kern="1200" baseline="0">
                <a:solidFill>
                  <a:srgbClr val="FF0000"/>
                </a:solidFill>
                <a:latin typeface="Book Antiqua" panose="02040602050305030304" pitchFamily="18" charset="0"/>
                <a:ea typeface="+mn-ea"/>
                <a:cs typeface="+mn-cs"/>
              </a:defRPr>
            </a:pPr>
            <a:endParaRPr lang="en-US"/>
          </a:p>
        </c:txPr>
        <c:crossAx val="137321804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erAx>
        <c:axId val="1274355872"/>
        <c:scaling>
          <c:orientation val="minMax"/>
        </c:scaling>
        <c:delete val="1"/>
        <c:axPos val="b"/>
        <c:majorTickMark val="out"/>
        <c:minorTickMark val="none"/>
        <c:tickLblPos val="nextTo"/>
        <c:crossAx val="1373225728"/>
        <c:crosses val="autoZero"/>
      </c:ser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i="1" u="sng">
                <a:latin typeface="Book Antiqua" panose="02040602050305030304" pitchFamily="18" charset="0"/>
              </a:rPr>
              <a:t>Top 5 Best Sellers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solidFill>
              <a:schemeClr val="tx1"/>
            </a:solidFill>
          </a:ln>
          <a:effectLst/>
        </c:spPr>
      </c:pivotFmt>
      <c:pivotFmt>
        <c:idx val="2"/>
        <c:spPr>
          <a:solidFill>
            <a:schemeClr val="accent2">
              <a:lumMod val="60000"/>
              <a:lumOff val="40000"/>
            </a:schemeClr>
          </a:solidFill>
          <a:ln>
            <a:solidFill>
              <a:schemeClr val="tx1"/>
            </a:solidFill>
          </a:ln>
          <a:effectLst/>
        </c:spPr>
      </c:pivotFmt>
      <c:pivotFmt>
        <c:idx val="3"/>
        <c:spPr>
          <a:solidFill>
            <a:srgbClr val="00B050"/>
          </a:solidFill>
          <a:ln>
            <a:solidFill>
              <a:schemeClr val="tx1"/>
            </a:solidFill>
          </a:ln>
          <a:effectLst/>
        </c:spPr>
      </c:pivotFmt>
      <c:pivotFmt>
        <c:idx val="4"/>
        <c:spPr>
          <a:solidFill>
            <a:schemeClr val="bg2">
              <a:lumMod val="75000"/>
            </a:schemeClr>
          </a:solidFill>
          <a:ln>
            <a:solidFill>
              <a:schemeClr val="tx1"/>
            </a:solidFill>
          </a:ln>
          <a:effectLst/>
        </c:spPr>
      </c:pivotFmt>
      <c:pivotFmt>
        <c:idx val="5"/>
        <c:spPr>
          <a:solidFill>
            <a:schemeClr val="accent6">
              <a:lumMod val="40000"/>
              <a:lumOff val="60000"/>
            </a:schemeClr>
          </a:solidFill>
          <a:ln>
            <a:solidFill>
              <a:schemeClr val="tx1"/>
            </a:solidFill>
          </a:ln>
          <a:effectLst/>
        </c:spPr>
      </c:pivotFmt>
      <c:pivotFmt>
        <c:idx val="6"/>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solidFill>
              <a:schemeClr val="tx1"/>
            </a:solidFill>
          </a:ln>
          <a:effectLst/>
        </c:spPr>
      </c:pivotFmt>
      <c:pivotFmt>
        <c:idx val="8"/>
        <c:spPr>
          <a:solidFill>
            <a:schemeClr val="accent2">
              <a:lumMod val="60000"/>
              <a:lumOff val="40000"/>
            </a:schemeClr>
          </a:solidFill>
          <a:ln>
            <a:solidFill>
              <a:schemeClr val="tx1"/>
            </a:solidFill>
          </a:ln>
          <a:effectLst/>
        </c:spPr>
      </c:pivotFmt>
      <c:pivotFmt>
        <c:idx val="9"/>
        <c:spPr>
          <a:solidFill>
            <a:srgbClr val="00B050"/>
          </a:solidFill>
          <a:ln>
            <a:solidFill>
              <a:schemeClr val="tx1"/>
            </a:solidFill>
          </a:ln>
          <a:effectLst/>
        </c:spPr>
      </c:pivotFmt>
      <c:pivotFmt>
        <c:idx val="10"/>
        <c:spPr>
          <a:solidFill>
            <a:schemeClr val="bg2">
              <a:lumMod val="75000"/>
            </a:schemeClr>
          </a:solidFill>
          <a:ln>
            <a:solidFill>
              <a:schemeClr val="tx1"/>
            </a:solidFill>
          </a:ln>
          <a:effectLst/>
        </c:spPr>
      </c:pivotFmt>
      <c:pivotFmt>
        <c:idx val="11"/>
        <c:spPr>
          <a:solidFill>
            <a:schemeClr val="accent6">
              <a:lumMod val="40000"/>
              <a:lumOff val="60000"/>
            </a:schemeClr>
          </a:solidFill>
          <a:ln>
            <a:solidFill>
              <a:schemeClr val="tx1"/>
            </a:solidFill>
          </a:ln>
          <a:effectLst/>
        </c:spPr>
      </c:pivotFmt>
      <c:pivotFmt>
        <c:idx val="12"/>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C000"/>
          </a:solidFill>
          <a:ln>
            <a:solidFill>
              <a:schemeClr val="tx1"/>
            </a:solidFill>
          </a:ln>
          <a:effectLst/>
        </c:spPr>
      </c:pivotFmt>
      <c:pivotFmt>
        <c:idx val="14"/>
        <c:spPr>
          <a:solidFill>
            <a:schemeClr val="accent2">
              <a:lumMod val="60000"/>
              <a:lumOff val="40000"/>
            </a:schemeClr>
          </a:solidFill>
          <a:ln>
            <a:solidFill>
              <a:schemeClr val="tx1"/>
            </a:solidFill>
          </a:ln>
          <a:effectLst/>
        </c:spPr>
      </c:pivotFmt>
      <c:pivotFmt>
        <c:idx val="15"/>
        <c:spPr>
          <a:solidFill>
            <a:srgbClr val="00B050"/>
          </a:solidFill>
          <a:ln>
            <a:solidFill>
              <a:schemeClr val="tx1"/>
            </a:solidFill>
          </a:ln>
          <a:effectLst/>
        </c:spPr>
      </c:pivotFmt>
      <c:pivotFmt>
        <c:idx val="16"/>
        <c:spPr>
          <a:solidFill>
            <a:schemeClr val="bg2">
              <a:lumMod val="75000"/>
            </a:schemeClr>
          </a:solidFill>
          <a:ln>
            <a:solidFill>
              <a:schemeClr val="tx1"/>
            </a:solidFill>
          </a:ln>
          <a:effectLst/>
        </c:spPr>
      </c:pivotFmt>
      <c:pivotFmt>
        <c:idx val="17"/>
        <c:spPr>
          <a:solidFill>
            <a:schemeClr val="accent6">
              <a:lumMod val="40000"/>
              <a:lumOff val="60000"/>
            </a:schemeClr>
          </a:solidFill>
          <a:ln>
            <a:solidFill>
              <a:schemeClr val="tx1"/>
            </a:solidFill>
          </a:ln>
          <a:effectLst/>
        </c:spPr>
      </c:pivotFmt>
    </c:pivotFmts>
    <c:plotArea>
      <c:layout/>
      <c:barChart>
        <c:barDir val="col"/>
        <c:grouping val="stacked"/>
        <c:varyColors val="0"/>
        <c:ser>
          <c:idx val="0"/>
          <c:order val="0"/>
          <c:tx>
            <c:strRef>
              <c:f>'Pivot-3'!$B$3</c:f>
              <c:strCache>
                <c:ptCount val="1"/>
                <c:pt idx="0">
                  <c:v>Total</c:v>
                </c:pt>
              </c:strCache>
            </c:strRef>
          </c:tx>
          <c:spPr>
            <a:solidFill>
              <a:schemeClr val="accent1"/>
            </a:solidFill>
            <a:ln>
              <a:solidFill>
                <a:schemeClr val="tx1"/>
              </a:solidFill>
            </a:ln>
            <a:effectLst/>
          </c:spPr>
          <c:invertIfNegative val="0"/>
          <c:dPt>
            <c:idx val="0"/>
            <c:invertIfNegative val="0"/>
            <c:bubble3D val="0"/>
            <c:spPr>
              <a:solidFill>
                <a:srgbClr val="FFC000"/>
              </a:solidFill>
              <a:ln>
                <a:solidFill>
                  <a:schemeClr val="tx1"/>
                </a:solidFill>
              </a:ln>
              <a:effectLst/>
            </c:spPr>
            <c:extLst>
              <c:ext xmlns:c16="http://schemas.microsoft.com/office/drawing/2014/chart" uri="{C3380CC4-5D6E-409C-BE32-E72D297353CC}">
                <c16:uniqueId val="{00000001-7703-4E71-BCCC-67CA38EE1A4D}"/>
              </c:ext>
            </c:extLst>
          </c:dPt>
          <c:dPt>
            <c:idx val="1"/>
            <c:invertIfNegative val="0"/>
            <c:bubble3D val="0"/>
            <c:spPr>
              <a:solidFill>
                <a:schemeClr val="accent2">
                  <a:lumMod val="60000"/>
                  <a:lumOff val="40000"/>
                </a:schemeClr>
              </a:solidFill>
              <a:ln>
                <a:solidFill>
                  <a:schemeClr val="tx1"/>
                </a:solidFill>
              </a:ln>
              <a:effectLst/>
            </c:spPr>
            <c:extLst>
              <c:ext xmlns:c16="http://schemas.microsoft.com/office/drawing/2014/chart" uri="{C3380CC4-5D6E-409C-BE32-E72D297353CC}">
                <c16:uniqueId val="{00000003-7703-4E71-BCCC-67CA38EE1A4D}"/>
              </c:ext>
            </c:extLst>
          </c:dPt>
          <c:dPt>
            <c:idx val="2"/>
            <c:invertIfNegative val="0"/>
            <c:bubble3D val="0"/>
            <c:spPr>
              <a:solidFill>
                <a:srgbClr val="00B050"/>
              </a:solidFill>
              <a:ln>
                <a:solidFill>
                  <a:schemeClr val="tx1"/>
                </a:solidFill>
              </a:ln>
              <a:effectLst/>
            </c:spPr>
            <c:extLst>
              <c:ext xmlns:c16="http://schemas.microsoft.com/office/drawing/2014/chart" uri="{C3380CC4-5D6E-409C-BE32-E72D297353CC}">
                <c16:uniqueId val="{00000005-7703-4E71-BCCC-67CA38EE1A4D}"/>
              </c:ext>
            </c:extLst>
          </c:dPt>
          <c:dPt>
            <c:idx val="3"/>
            <c:invertIfNegative val="0"/>
            <c:bubble3D val="0"/>
            <c:spPr>
              <a:solidFill>
                <a:schemeClr val="bg2">
                  <a:lumMod val="75000"/>
                </a:schemeClr>
              </a:solidFill>
              <a:ln>
                <a:solidFill>
                  <a:schemeClr val="tx1"/>
                </a:solidFill>
              </a:ln>
              <a:effectLst/>
            </c:spPr>
            <c:extLst>
              <c:ext xmlns:c16="http://schemas.microsoft.com/office/drawing/2014/chart" uri="{C3380CC4-5D6E-409C-BE32-E72D297353CC}">
                <c16:uniqueId val="{00000007-7703-4E71-BCCC-67CA38EE1A4D}"/>
              </c:ext>
            </c:extLst>
          </c:dPt>
          <c:dPt>
            <c:idx val="4"/>
            <c:invertIfNegative val="0"/>
            <c:bubble3D val="0"/>
            <c:spPr>
              <a:solidFill>
                <a:schemeClr val="accent6">
                  <a:lumMod val="40000"/>
                  <a:lumOff val="60000"/>
                </a:schemeClr>
              </a:solidFill>
              <a:ln>
                <a:solidFill>
                  <a:schemeClr val="tx1"/>
                </a:solidFill>
              </a:ln>
              <a:effectLst/>
            </c:spPr>
            <c:extLst>
              <c:ext xmlns:c16="http://schemas.microsoft.com/office/drawing/2014/chart" uri="{C3380CC4-5D6E-409C-BE32-E72D297353CC}">
                <c16:uniqueId val="{00000009-7703-4E71-BCCC-67CA38EE1A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'Pivot-3'!$A$4:$A$8</c:f>
              <c:strCache>
                <c:ptCount val="5"/>
                <c:pt idx="0">
                  <c:v>Diamond Ring</c:v>
                </c:pt>
                <c:pt idx="1">
                  <c:v>Emerald Ring</c:v>
                </c:pt>
                <c:pt idx="2">
                  <c:v>Ruby &amp; Emerald Necklace</c:v>
                </c:pt>
                <c:pt idx="3">
                  <c:v>Ruby &amp; Emerald Earring</c:v>
                </c:pt>
                <c:pt idx="4">
                  <c:v>Diamond Bracelet</c:v>
                </c:pt>
              </c:strCache>
            </c:strRef>
          </c:cat>
          <c:val>
            <c:numRef>
              <c:f>'Pivot-3'!$B$4:$B$8</c:f>
              <c:numCache>
                <c:formatCode>"₹"\ #,##0</c:formatCode>
                <c:ptCount val="5"/>
                <c:pt idx="0">
                  <c:v>1713488887</c:v>
                </c:pt>
                <c:pt idx="1">
                  <c:v>1448980507</c:v>
                </c:pt>
                <c:pt idx="2">
                  <c:v>1374292250</c:v>
                </c:pt>
                <c:pt idx="3">
                  <c:v>1055082923</c:v>
                </c:pt>
                <c:pt idx="4">
                  <c:v>978884382</c:v>
                </c:pt>
              </c:numCache>
            </c:numRef>
          </c:val>
          <c:extLst>
            <c:ext xmlns:c16="http://schemas.microsoft.com/office/drawing/2014/chart" uri="{C3380CC4-5D6E-409C-BE32-E72D297353CC}">
              <c16:uniqueId val="{0000000A-7703-4E71-BCCC-67CA38EE1A4D}"/>
            </c:ext>
          </c:extLst>
        </c:ser>
        <c:dLbls>
          <c:dLblPos val="inEnd"/>
          <c:showLegendKey val="0"/>
          <c:showVal val="1"/>
          <c:showCatName val="0"/>
          <c:showSerName val="0"/>
          <c:showPercent val="0"/>
          <c:showBubbleSize val="0"/>
        </c:dLbls>
        <c:gapWidth val="5"/>
        <c:overlap val="100"/>
        <c:axId val="1964709616"/>
        <c:axId val="1964712016"/>
      </c:barChart>
      <c:catAx>
        <c:axId val="196470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FF0000"/>
                </a:solidFill>
                <a:latin typeface="Book Antiqua" panose="02040602050305030304" pitchFamily="18" charset="0"/>
                <a:ea typeface="+mn-ea"/>
                <a:cs typeface="+mn-cs"/>
              </a:defRPr>
            </a:pPr>
            <a:endParaRPr lang="en-US"/>
          </a:p>
        </c:txPr>
        <c:crossAx val="1964712016"/>
        <c:crosses val="autoZero"/>
        <c:auto val="1"/>
        <c:lblAlgn val="ctr"/>
        <c:lblOffset val="100"/>
        <c:noMultiLvlLbl val="0"/>
      </c:catAx>
      <c:valAx>
        <c:axId val="19647120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470961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Worksheet.xlsx]Pivot-3!PivotTable2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1" u="sng" strike="noStrike" baseline="0">
                <a:latin typeface="Book Antiqua" panose="02040602050305030304" pitchFamily="18" charset="0"/>
              </a:rPr>
              <a:t>Top 5 Revenue‑Generating Regions</a:t>
            </a:r>
            <a:endParaRPr lang="en-US" sz="1600" i="1" u="sng">
              <a:latin typeface="Book Antiqua" panose="0204060205030503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37647058823529411"/>
              <c:y val="-4.47427293064876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34285714285714303"/>
              <c:y val="-8.94854586129753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36832181691574256"/>
              <c:y val="9.8387323833503456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36995154826425924"/>
              <c:y val="9.932583566657712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33657098057547991"/>
              <c:y val="1.53908119691541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33147804576376005"/>
              <c:y val="2.4831458916644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33889919604205321"/>
              <c:y val="2.48314589166444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0.32158317872603587"/>
              <c:y val="1.48988753499866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0.28200371057513912"/>
              <c:y val="1.98651671333155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'Pivot-3'!$B$13</c:f>
              <c:strCache>
                <c:ptCount val="1"/>
                <c:pt idx="0">
                  <c:v>Total</c:v>
                </c:pt>
              </c:strCache>
            </c:strRef>
          </c:tx>
          <c:spPr>
            <a:solidFill>
              <a:schemeClr val="accent1"/>
            </a:solidFill>
            <a:ln>
              <a:noFill/>
            </a:ln>
            <a:effectLst/>
            <a:sp3d/>
          </c:spPr>
          <c:invertIfNegative val="0"/>
          <c:dLbls>
            <c:dLbl>
              <c:idx val="0"/>
              <c:layout>
                <c:manualLayout>
                  <c:x val="0.28200371057513912"/>
                  <c:y val="1.98651671333155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9F3-48C0-BC6E-9A85A71D8115}"/>
                </c:ext>
              </c:extLst>
            </c:dLbl>
            <c:dLbl>
              <c:idx val="1"/>
              <c:layout>
                <c:manualLayout>
                  <c:x val="0.32158317872603587"/>
                  <c:y val="1.48988753499866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F3-48C0-BC6E-9A85A71D8115}"/>
                </c:ext>
              </c:extLst>
            </c:dLbl>
            <c:dLbl>
              <c:idx val="2"/>
              <c:layout>
                <c:manualLayout>
                  <c:x val="0.33889919604205321"/>
                  <c:y val="2.48314589166444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F3-48C0-BC6E-9A85A71D8115}"/>
                </c:ext>
              </c:extLst>
            </c:dLbl>
            <c:dLbl>
              <c:idx val="3"/>
              <c:layout>
                <c:manualLayout>
                  <c:x val="0.33147804576376005"/>
                  <c:y val="2.48314589166444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F3-48C0-BC6E-9A85A71D8115}"/>
                </c:ext>
              </c:extLst>
            </c:dLbl>
            <c:dLbl>
              <c:idx val="4"/>
              <c:layout>
                <c:manualLayout>
                  <c:x val="0.33657098057547991"/>
                  <c:y val="1.53908119691541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F3-48C0-BC6E-9A85A71D8115}"/>
                </c:ext>
              </c:extLst>
            </c:dLbl>
            <c:dLbl>
              <c:idx val="5"/>
              <c:layout>
                <c:manualLayout>
                  <c:x val="0.36995154826425924"/>
                  <c:y val="9.932583566657712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F3-48C0-BC6E-9A85A71D8115}"/>
                </c:ext>
              </c:extLst>
            </c:dLbl>
            <c:dLbl>
              <c:idx val="6"/>
              <c:layout>
                <c:manualLayout>
                  <c:x val="0.36832181691574256"/>
                  <c:y val="9.8387323833503456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F3-48C0-BC6E-9A85A71D8115}"/>
                </c:ext>
              </c:extLst>
            </c:dLbl>
            <c:dLbl>
              <c:idx val="7"/>
              <c:layout>
                <c:manualLayout>
                  <c:x val="0.34285714285714303"/>
                  <c:y val="-8.948545861297539E-3"/>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0.37647058823529411"/>
                  <c:y val="-4.4742729306487695E-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'Pivot-3'!$A$14:$A$22</c:f>
              <c:strCache>
                <c:ptCount val="9"/>
                <c:pt idx="0">
                  <c:v>Jaipur</c:v>
                </c:pt>
                <c:pt idx="1">
                  <c:v>Kolhapur</c:v>
                </c:pt>
                <c:pt idx="2">
                  <c:v>Ahmedabad</c:v>
                </c:pt>
                <c:pt idx="3">
                  <c:v>Solapur</c:v>
                </c:pt>
                <c:pt idx="4">
                  <c:v>Baroda</c:v>
                </c:pt>
                <c:pt idx="5">
                  <c:v>Surat</c:v>
                </c:pt>
                <c:pt idx="6">
                  <c:v>Delhi</c:v>
                </c:pt>
                <c:pt idx="7">
                  <c:v>Mumbai</c:v>
                </c:pt>
                <c:pt idx="8">
                  <c:v>Bangalore</c:v>
                </c:pt>
              </c:strCache>
            </c:strRef>
          </c:cat>
          <c:val>
            <c:numRef>
              <c:f>'Pivot-3'!$B$14:$B$22</c:f>
              <c:numCache>
                <c:formatCode>"₹"\ #,##0</c:formatCode>
                <c:ptCount val="9"/>
                <c:pt idx="0">
                  <c:v>1361291685</c:v>
                </c:pt>
                <c:pt idx="1">
                  <c:v>1499288145</c:v>
                </c:pt>
                <c:pt idx="2">
                  <c:v>1590178093</c:v>
                </c:pt>
                <c:pt idx="3">
                  <c:v>1593657715</c:v>
                </c:pt>
                <c:pt idx="4">
                  <c:v>1613373119</c:v>
                </c:pt>
                <c:pt idx="5">
                  <c:v>1669058159</c:v>
                </c:pt>
                <c:pt idx="6">
                  <c:v>1694727266</c:v>
                </c:pt>
                <c:pt idx="7">
                  <c:v>1798800532</c:v>
                </c:pt>
                <c:pt idx="8">
                  <c:v>1840805250</c:v>
                </c:pt>
              </c:numCache>
            </c:numRef>
          </c:val>
          <c:extLst>
            <c:ext xmlns:c16="http://schemas.microsoft.com/office/drawing/2014/chart" uri="{C3380CC4-5D6E-409C-BE32-E72D297353CC}">
              <c16:uniqueId val="{00000000-A24A-4F23-81BF-67466C993371}"/>
            </c:ext>
          </c:extLst>
        </c:ser>
        <c:dLbls>
          <c:showLegendKey val="0"/>
          <c:showVal val="0"/>
          <c:showCatName val="0"/>
          <c:showSerName val="0"/>
          <c:showPercent val="0"/>
          <c:showBubbleSize val="0"/>
        </c:dLbls>
        <c:gapWidth val="150"/>
        <c:shape val="cylinder"/>
        <c:axId val="1373223808"/>
        <c:axId val="1373221408"/>
        <c:axId val="0"/>
      </c:bar3DChart>
      <c:catAx>
        <c:axId val="1373223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accent6">
                    <a:lumMod val="50000"/>
                  </a:schemeClr>
                </a:solidFill>
                <a:latin typeface="Book Antiqua" panose="02040602050305030304" pitchFamily="18" charset="0"/>
                <a:ea typeface="+mn-ea"/>
                <a:cs typeface="+mn-cs"/>
              </a:defRPr>
            </a:pPr>
            <a:endParaRPr lang="en-US"/>
          </a:p>
        </c:txPr>
        <c:crossAx val="1373221408"/>
        <c:crosses val="autoZero"/>
        <c:auto val="1"/>
        <c:lblAlgn val="ctr"/>
        <c:lblOffset val="100"/>
        <c:noMultiLvlLbl val="0"/>
      </c:catAx>
      <c:valAx>
        <c:axId val="13732214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0000"/>
                </a:solidFill>
                <a:latin typeface="+mn-lt"/>
                <a:ea typeface="+mn-ea"/>
                <a:cs typeface="+mn-cs"/>
              </a:defRPr>
            </a:pPr>
            <a:endParaRPr lang="en-US"/>
          </a:p>
        </c:txPr>
        <c:crossAx val="1373223808"/>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CCF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485775</xdr:colOff>
      <xdr:row>5</xdr:row>
      <xdr:rowOff>0</xdr:rowOff>
    </xdr:from>
    <xdr:to>
      <xdr:col>11</xdr:col>
      <xdr:colOff>161925</xdr:colOff>
      <xdr:row>8</xdr:row>
      <xdr:rowOff>190499</xdr:rowOff>
    </xdr:to>
    <xdr:grpSp>
      <xdr:nvGrpSpPr>
        <xdr:cNvPr id="6" name="Group 5">
          <a:extLst>
            <a:ext uri="{FF2B5EF4-FFF2-40B4-BE49-F238E27FC236}">
              <a16:creationId xmlns:a16="http://schemas.microsoft.com/office/drawing/2014/main" id="{3CB72CE1-25F2-8852-8729-364669478FC6}"/>
            </a:ext>
          </a:extLst>
        </xdr:cNvPr>
        <xdr:cNvGrpSpPr/>
      </xdr:nvGrpSpPr>
      <xdr:grpSpPr>
        <a:xfrm>
          <a:off x="4591050" y="952500"/>
          <a:ext cx="2114550" cy="761999"/>
          <a:chOff x="619125" y="0"/>
          <a:chExt cx="2486025" cy="1047750"/>
        </a:xfrm>
      </xdr:grpSpPr>
      <xdr:sp macro="" textlink="">
        <xdr:nvSpPr>
          <xdr:cNvPr id="3" name="Double Wave 2">
            <a:extLst>
              <a:ext uri="{FF2B5EF4-FFF2-40B4-BE49-F238E27FC236}">
                <a16:creationId xmlns:a16="http://schemas.microsoft.com/office/drawing/2014/main" id="{0130DEFD-CC02-5439-F9D8-48BB7A9E2685}"/>
              </a:ext>
            </a:extLst>
          </xdr:cNvPr>
          <xdr:cNvSpPr/>
        </xdr:nvSpPr>
        <xdr:spPr>
          <a:xfrm>
            <a:off x="619125" y="0"/>
            <a:ext cx="2486025" cy="1047750"/>
          </a:xfrm>
          <a:prstGeom prst="doubleWav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ln>
                  <a:solidFill>
                    <a:schemeClr val="tx1"/>
                  </a:solidFill>
                </a:ln>
                <a:solidFill>
                  <a:schemeClr val="dk1"/>
                </a:solidFill>
                <a:latin typeface="Book Antiqua" panose="02040602050305030304" pitchFamily="18" charset="0"/>
              </a:rPr>
              <a:t>Total Sales Value</a:t>
            </a:r>
            <a:br>
              <a:rPr lang="en-IN" sz="1400">
                <a:ln>
                  <a:solidFill>
                    <a:schemeClr val="tx1"/>
                  </a:solidFill>
                </a:ln>
                <a:solidFill>
                  <a:schemeClr val="dk1"/>
                </a:solidFill>
                <a:latin typeface="Book Antiqua" panose="02040602050305030304" pitchFamily="18" charset="0"/>
              </a:rPr>
            </a:br>
            <a:endParaRPr lang="en-IN" sz="1400">
              <a:ln>
                <a:solidFill>
                  <a:schemeClr val="tx1"/>
                </a:solidFill>
              </a:ln>
              <a:solidFill>
                <a:schemeClr val="dk1"/>
              </a:solidFill>
              <a:latin typeface="Book Antiqua" panose="02040602050305030304" pitchFamily="18" charset="0"/>
            </a:endParaRPr>
          </a:p>
        </xdr:txBody>
      </xdr:sp>
      <xdr:sp macro="" textlink="'Pivot-1'!A2">
        <xdr:nvSpPr>
          <xdr:cNvPr id="4" name="Rectangle: Rounded Corners 3">
            <a:extLst>
              <a:ext uri="{FF2B5EF4-FFF2-40B4-BE49-F238E27FC236}">
                <a16:creationId xmlns:a16="http://schemas.microsoft.com/office/drawing/2014/main" id="{A56A3874-7327-E7C4-F90B-DE927CCE458C}"/>
              </a:ext>
            </a:extLst>
          </xdr:cNvPr>
          <xdr:cNvSpPr/>
        </xdr:nvSpPr>
        <xdr:spPr>
          <a:xfrm>
            <a:off x="914400" y="504825"/>
            <a:ext cx="1895475" cy="39052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3FD6B1CA-32AA-473C-8F53-68D4C280E7D5}" type="TxLink">
              <a:rPr lang="en-US" sz="1400" b="0" i="0" u="none" strike="noStrike">
                <a:ln w="12700">
                  <a:solidFill>
                    <a:srgbClr val="FFC000"/>
                  </a:solidFill>
                </a:ln>
                <a:solidFill>
                  <a:schemeClr val="tx1"/>
                </a:solidFill>
                <a:latin typeface="Book Antiqua" panose="02040602050305030304" pitchFamily="18" charset="0"/>
                <a:ea typeface="Calibri"/>
                <a:cs typeface="Calibri"/>
              </a:rPr>
              <a:pPr algn="ctr"/>
              <a:t>₹ 14,66,11,79,964</a:t>
            </a:fld>
            <a:endParaRPr lang="en-IN" sz="1400">
              <a:ln w="12700">
                <a:solidFill>
                  <a:srgbClr val="FFC000"/>
                </a:solidFill>
              </a:ln>
              <a:solidFill>
                <a:schemeClr val="tx1"/>
              </a:solidFill>
              <a:latin typeface="Book Antiqua" panose="02040602050305030304" pitchFamily="18" charset="0"/>
            </a:endParaRPr>
          </a:p>
        </xdr:txBody>
      </xdr:sp>
    </xdr:grpSp>
    <xdr:clientData/>
  </xdr:twoCellAnchor>
  <xdr:twoCellAnchor>
    <xdr:from>
      <xdr:col>2</xdr:col>
      <xdr:colOff>371475</xdr:colOff>
      <xdr:row>5</xdr:row>
      <xdr:rowOff>0</xdr:rowOff>
    </xdr:from>
    <xdr:to>
      <xdr:col>6</xdr:col>
      <xdr:colOff>47625</xdr:colOff>
      <xdr:row>8</xdr:row>
      <xdr:rowOff>180974</xdr:rowOff>
    </xdr:to>
    <xdr:grpSp>
      <xdr:nvGrpSpPr>
        <xdr:cNvPr id="10" name="Group 9">
          <a:extLst>
            <a:ext uri="{FF2B5EF4-FFF2-40B4-BE49-F238E27FC236}">
              <a16:creationId xmlns:a16="http://schemas.microsoft.com/office/drawing/2014/main" id="{D46AE6F9-78AB-4E49-CF70-92DB2FE2EE2D}"/>
            </a:ext>
          </a:extLst>
        </xdr:cNvPr>
        <xdr:cNvGrpSpPr/>
      </xdr:nvGrpSpPr>
      <xdr:grpSpPr>
        <a:xfrm>
          <a:off x="1628775" y="952500"/>
          <a:ext cx="1914525" cy="752474"/>
          <a:chOff x="3667125" y="19050"/>
          <a:chExt cx="2486025" cy="1047750"/>
        </a:xfrm>
      </xdr:grpSpPr>
      <xdr:sp macro="" textlink="">
        <xdr:nvSpPr>
          <xdr:cNvPr id="8" name="Double Wave 7">
            <a:extLst>
              <a:ext uri="{FF2B5EF4-FFF2-40B4-BE49-F238E27FC236}">
                <a16:creationId xmlns:a16="http://schemas.microsoft.com/office/drawing/2014/main" id="{826B9F20-CE7E-597C-0768-B5E294174796}"/>
              </a:ext>
            </a:extLst>
          </xdr:cNvPr>
          <xdr:cNvSpPr/>
        </xdr:nvSpPr>
        <xdr:spPr>
          <a:xfrm>
            <a:off x="3667125" y="19050"/>
            <a:ext cx="2486025" cy="1047750"/>
          </a:xfrm>
          <a:prstGeom prst="doubleWav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600">
                <a:ln>
                  <a:solidFill>
                    <a:schemeClr val="tx1"/>
                  </a:solidFill>
                </a:ln>
                <a:solidFill>
                  <a:schemeClr val="dk1"/>
                </a:solidFill>
                <a:latin typeface="Book Antiqua" panose="02040602050305030304" pitchFamily="18" charset="0"/>
              </a:rPr>
              <a:t>Total Sales Quantity</a:t>
            </a:r>
            <a:br>
              <a:rPr lang="en-IN" sz="1600">
                <a:ln>
                  <a:solidFill>
                    <a:schemeClr val="tx1"/>
                  </a:solidFill>
                </a:ln>
                <a:solidFill>
                  <a:schemeClr val="dk1"/>
                </a:solidFill>
                <a:latin typeface="Book Antiqua" panose="02040602050305030304" pitchFamily="18" charset="0"/>
              </a:rPr>
            </a:br>
            <a:endParaRPr lang="en-IN" sz="1600">
              <a:ln>
                <a:solidFill>
                  <a:schemeClr val="tx1"/>
                </a:solidFill>
              </a:ln>
              <a:solidFill>
                <a:schemeClr val="dk1"/>
              </a:solidFill>
              <a:latin typeface="Book Antiqua" panose="02040602050305030304" pitchFamily="18" charset="0"/>
            </a:endParaRPr>
          </a:p>
        </xdr:txBody>
      </xdr:sp>
      <xdr:sp macro="" textlink="'Pivot-1'!A5">
        <xdr:nvSpPr>
          <xdr:cNvPr id="9" name="Rectangle: Rounded Corners 8">
            <a:extLst>
              <a:ext uri="{FF2B5EF4-FFF2-40B4-BE49-F238E27FC236}">
                <a16:creationId xmlns:a16="http://schemas.microsoft.com/office/drawing/2014/main" id="{EB6F1772-ED69-6248-FEBD-A8FC563A21BE}"/>
              </a:ext>
            </a:extLst>
          </xdr:cNvPr>
          <xdr:cNvSpPr/>
        </xdr:nvSpPr>
        <xdr:spPr>
          <a:xfrm>
            <a:off x="3962400" y="523875"/>
            <a:ext cx="1895475" cy="39052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49D4CBF8-70FA-4FFD-9D52-759B7CE97C43}" type="TxLink">
              <a:rPr lang="en-US" sz="1600" b="0" i="0" u="none" strike="noStrike">
                <a:ln w="12700">
                  <a:solidFill>
                    <a:srgbClr val="FFC000"/>
                  </a:solidFill>
                </a:ln>
                <a:solidFill>
                  <a:srgbClr val="000000"/>
                </a:solidFill>
                <a:latin typeface="Book Antiqua" panose="02040602050305030304" pitchFamily="18" charset="0"/>
                <a:ea typeface="Calibri"/>
                <a:cs typeface="Calibri"/>
              </a:rPr>
              <a:pPr algn="ctr"/>
              <a:t>2,754</a:t>
            </a:fld>
            <a:endParaRPr lang="en-IN" sz="1600">
              <a:ln w="12700">
                <a:solidFill>
                  <a:srgbClr val="FFC000"/>
                </a:solidFill>
              </a:ln>
              <a:solidFill>
                <a:schemeClr val="tx1"/>
              </a:solidFill>
              <a:latin typeface="Book Antiqua" panose="02040602050305030304" pitchFamily="18" charset="0"/>
            </a:endParaRPr>
          </a:p>
        </xdr:txBody>
      </xdr:sp>
    </xdr:grpSp>
    <xdr:clientData/>
  </xdr:twoCellAnchor>
  <xdr:twoCellAnchor>
    <xdr:from>
      <xdr:col>2</xdr:col>
      <xdr:colOff>323850</xdr:colOff>
      <xdr:row>9</xdr:row>
      <xdr:rowOff>76200</xdr:rowOff>
    </xdr:from>
    <xdr:to>
      <xdr:col>9</xdr:col>
      <xdr:colOff>457200</xdr:colOff>
      <xdr:row>23</xdr:row>
      <xdr:rowOff>180974</xdr:rowOff>
    </xdr:to>
    <xdr:graphicFrame macro="">
      <xdr:nvGraphicFramePr>
        <xdr:cNvPr id="14" name="Chart 13">
          <a:extLst>
            <a:ext uri="{FF2B5EF4-FFF2-40B4-BE49-F238E27FC236}">
              <a16:creationId xmlns:a16="http://schemas.microsoft.com/office/drawing/2014/main" id="{68EF16E5-7A18-494A-924D-214D75711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547182</xdr:colOff>
      <xdr:row>9</xdr:row>
      <xdr:rowOff>116277</xdr:rowOff>
    </xdr:from>
    <xdr:to>
      <xdr:col>18</xdr:col>
      <xdr:colOff>161925</xdr:colOff>
      <xdr:row>23</xdr:row>
      <xdr:rowOff>133350</xdr:rowOff>
    </xdr:to>
    <xdr:graphicFrame macro="">
      <xdr:nvGraphicFramePr>
        <xdr:cNvPr id="2" name="Chart 1">
          <a:extLst>
            <a:ext uri="{FF2B5EF4-FFF2-40B4-BE49-F238E27FC236}">
              <a16:creationId xmlns:a16="http://schemas.microsoft.com/office/drawing/2014/main" id="{B101AA12-1FA0-4F87-9038-D713B2100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357467</xdr:colOff>
      <xdr:row>24</xdr:row>
      <xdr:rowOff>71747</xdr:rowOff>
    </xdr:from>
    <xdr:to>
      <xdr:col>9</xdr:col>
      <xdr:colOff>447674</xdr:colOff>
      <xdr:row>37</xdr:row>
      <xdr:rowOff>95250</xdr:rowOff>
    </xdr:to>
    <xdr:graphicFrame macro="">
      <xdr:nvGraphicFramePr>
        <xdr:cNvPr id="5" name="Chart 4">
          <a:extLst>
            <a:ext uri="{FF2B5EF4-FFF2-40B4-BE49-F238E27FC236}">
              <a16:creationId xmlns:a16="http://schemas.microsoft.com/office/drawing/2014/main" id="{5D287013-7416-4EE6-8449-7B69F5910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534296</xdr:colOff>
      <xdr:row>24</xdr:row>
      <xdr:rowOff>81272</xdr:rowOff>
    </xdr:from>
    <xdr:to>
      <xdr:col>18</xdr:col>
      <xdr:colOff>190500</xdr:colOff>
      <xdr:row>37</xdr:row>
      <xdr:rowOff>76199</xdr:rowOff>
    </xdr:to>
    <xdr:graphicFrame macro="">
      <xdr:nvGraphicFramePr>
        <xdr:cNvPr id="7" name="Chart 6">
          <a:extLst>
            <a:ext uri="{FF2B5EF4-FFF2-40B4-BE49-F238E27FC236}">
              <a16:creationId xmlns:a16="http://schemas.microsoft.com/office/drawing/2014/main" id="{7FB7A8C6-1589-4220-A446-F9B59BCDA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364303</xdr:colOff>
      <xdr:row>37</xdr:row>
      <xdr:rowOff>185960</xdr:rowOff>
    </xdr:from>
    <xdr:to>
      <xdr:col>9</xdr:col>
      <xdr:colOff>428625</xdr:colOff>
      <xdr:row>51</xdr:row>
      <xdr:rowOff>76200</xdr:rowOff>
    </xdr:to>
    <xdr:graphicFrame macro="">
      <xdr:nvGraphicFramePr>
        <xdr:cNvPr id="11" name="Chart 10">
          <a:extLst>
            <a:ext uri="{FF2B5EF4-FFF2-40B4-BE49-F238E27FC236}">
              <a16:creationId xmlns:a16="http://schemas.microsoft.com/office/drawing/2014/main" id="{41805F35-BB2E-4988-8E79-3DDE86865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542924</xdr:colOff>
      <xdr:row>38</xdr:row>
      <xdr:rowOff>4985</xdr:rowOff>
    </xdr:from>
    <xdr:to>
      <xdr:col>18</xdr:col>
      <xdr:colOff>190499</xdr:colOff>
      <xdr:row>51</xdr:row>
      <xdr:rowOff>85725</xdr:rowOff>
    </xdr:to>
    <xdr:graphicFrame macro="">
      <xdr:nvGraphicFramePr>
        <xdr:cNvPr id="12" name="Chart 11">
          <a:extLst>
            <a:ext uri="{FF2B5EF4-FFF2-40B4-BE49-F238E27FC236}">
              <a16:creationId xmlns:a16="http://schemas.microsoft.com/office/drawing/2014/main" id="{DBF55D6F-8CBD-4CD1-AF77-49C586295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247650</xdr:colOff>
      <xdr:row>5</xdr:row>
      <xdr:rowOff>0</xdr:rowOff>
    </xdr:from>
    <xdr:to>
      <xdr:col>16</xdr:col>
      <xdr:colOff>533400</xdr:colOff>
      <xdr:row>8</xdr:row>
      <xdr:rowOff>171449</xdr:rowOff>
    </xdr:to>
    <xdr:grpSp>
      <xdr:nvGrpSpPr>
        <xdr:cNvPr id="13" name="Group 12">
          <a:extLst>
            <a:ext uri="{FF2B5EF4-FFF2-40B4-BE49-F238E27FC236}">
              <a16:creationId xmlns:a16="http://schemas.microsoft.com/office/drawing/2014/main" id="{FBF83BFE-7951-4AC4-BE97-258BF3058612}"/>
            </a:ext>
          </a:extLst>
        </xdr:cNvPr>
        <xdr:cNvGrpSpPr/>
      </xdr:nvGrpSpPr>
      <xdr:grpSpPr>
        <a:xfrm>
          <a:off x="8010525" y="952500"/>
          <a:ext cx="2114550" cy="742949"/>
          <a:chOff x="619125" y="0"/>
          <a:chExt cx="2486025" cy="1047750"/>
        </a:xfrm>
      </xdr:grpSpPr>
      <xdr:sp macro="" textlink="">
        <xdr:nvSpPr>
          <xdr:cNvPr id="15" name="Double Wave 14">
            <a:extLst>
              <a:ext uri="{FF2B5EF4-FFF2-40B4-BE49-F238E27FC236}">
                <a16:creationId xmlns:a16="http://schemas.microsoft.com/office/drawing/2014/main" id="{FA631565-50FC-7E53-5658-CC762634F006}"/>
              </a:ext>
            </a:extLst>
          </xdr:cNvPr>
          <xdr:cNvSpPr/>
        </xdr:nvSpPr>
        <xdr:spPr>
          <a:xfrm>
            <a:off x="619125" y="0"/>
            <a:ext cx="2486025" cy="1047750"/>
          </a:xfrm>
          <a:prstGeom prst="doubleWav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a:ln>
                  <a:solidFill>
                    <a:schemeClr val="tx1"/>
                  </a:solidFill>
                </a:ln>
                <a:solidFill>
                  <a:schemeClr val="dk1"/>
                </a:solidFill>
                <a:latin typeface="Book Antiqua" panose="02040602050305030304" pitchFamily="18" charset="0"/>
              </a:rPr>
              <a:t>Top Sales Region</a:t>
            </a:r>
            <a:br>
              <a:rPr lang="en-IN" sz="1400">
                <a:ln>
                  <a:solidFill>
                    <a:schemeClr val="tx1"/>
                  </a:solidFill>
                </a:ln>
                <a:solidFill>
                  <a:schemeClr val="dk1"/>
                </a:solidFill>
                <a:latin typeface="Book Antiqua" panose="02040602050305030304" pitchFamily="18" charset="0"/>
              </a:rPr>
            </a:br>
            <a:endParaRPr lang="en-IN" sz="1400">
              <a:ln>
                <a:solidFill>
                  <a:schemeClr val="tx1"/>
                </a:solidFill>
              </a:ln>
              <a:solidFill>
                <a:schemeClr val="dk1"/>
              </a:solidFill>
              <a:latin typeface="Book Antiqua" panose="02040602050305030304" pitchFamily="18" charset="0"/>
            </a:endParaRPr>
          </a:p>
        </xdr:txBody>
      </xdr:sp>
      <xdr:sp macro="" textlink="'Pivot-3'!D4">
        <xdr:nvSpPr>
          <xdr:cNvPr id="16" name="Rectangle: Rounded Corners 15">
            <a:extLst>
              <a:ext uri="{FF2B5EF4-FFF2-40B4-BE49-F238E27FC236}">
                <a16:creationId xmlns:a16="http://schemas.microsoft.com/office/drawing/2014/main" id="{A6F4A3F6-3CF4-C0EA-904F-294FFFBE0422}"/>
              </a:ext>
            </a:extLst>
          </xdr:cNvPr>
          <xdr:cNvSpPr/>
        </xdr:nvSpPr>
        <xdr:spPr>
          <a:xfrm>
            <a:off x="914400" y="504825"/>
            <a:ext cx="1895475" cy="390525"/>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88752033-83E4-47D3-8F5F-D0331B2F1C6D}" type="TxLink">
              <a:rPr lang="en-US" sz="2000" b="0" i="0" u="none" strike="noStrike">
                <a:ln w="12700">
                  <a:solidFill>
                    <a:srgbClr val="FFC000"/>
                  </a:solidFill>
                </a:ln>
                <a:solidFill>
                  <a:srgbClr val="000000"/>
                </a:solidFill>
                <a:latin typeface="Calibri"/>
                <a:ea typeface="Calibri"/>
                <a:cs typeface="Calibri"/>
              </a:rPr>
              <a:pPr algn="ctr"/>
              <a:t>Baroda</a:t>
            </a:fld>
            <a:endParaRPr lang="en-IN" sz="3600">
              <a:ln w="12700">
                <a:solidFill>
                  <a:srgbClr val="FFC000"/>
                </a:solidFill>
              </a:ln>
              <a:solidFill>
                <a:schemeClr val="tx1"/>
              </a:solidFill>
              <a:latin typeface="Book Antiqua" panose="02040602050305030304" pitchFamily="18" charset="0"/>
            </a:endParaRPr>
          </a:p>
        </xdr:txBody>
      </xdr:sp>
    </xdr:grpSp>
    <xdr:clientData/>
  </xdr:twoCellAnchor>
  <xdr:twoCellAnchor editAs="oneCell">
    <xdr:from>
      <xdr:col>0</xdr:col>
      <xdr:colOff>0</xdr:colOff>
      <xdr:row>10</xdr:row>
      <xdr:rowOff>47625</xdr:rowOff>
    </xdr:from>
    <xdr:to>
      <xdr:col>1</xdr:col>
      <xdr:colOff>619124</xdr:colOff>
      <xdr:row>19</xdr:row>
      <xdr:rowOff>38100</xdr:rowOff>
    </xdr:to>
    <mc:AlternateContent xmlns:mc="http://schemas.openxmlformats.org/markup-compatibility/2006" xmlns:a14="http://schemas.microsoft.com/office/drawing/2010/main">
      <mc:Choice Requires="a14">
        <xdr:graphicFrame macro="">
          <xdr:nvGraphicFramePr>
            <xdr:cNvPr id="17" name="Year">
              <a:extLst>
                <a:ext uri="{FF2B5EF4-FFF2-40B4-BE49-F238E27FC236}">
                  <a16:creationId xmlns:a16="http://schemas.microsoft.com/office/drawing/2014/main" id="{1968CA67-DF10-4FB1-9307-AACF4D283ABB}"/>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952625"/>
              <a:ext cx="1228724"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21</xdr:row>
      <xdr:rowOff>19048</xdr:rowOff>
    </xdr:from>
    <xdr:to>
      <xdr:col>1</xdr:col>
      <xdr:colOff>638175</xdr:colOff>
      <xdr:row>39</xdr:row>
      <xdr:rowOff>161925</xdr:rowOff>
    </xdr:to>
    <mc:AlternateContent xmlns:mc="http://schemas.openxmlformats.org/markup-compatibility/2006" xmlns:a14="http://schemas.microsoft.com/office/drawing/2010/main">
      <mc:Choice Requires="a14">
        <xdr:graphicFrame macro="">
          <xdr:nvGraphicFramePr>
            <xdr:cNvPr id="18" name="Month Name">
              <a:extLst>
                <a:ext uri="{FF2B5EF4-FFF2-40B4-BE49-F238E27FC236}">
                  <a16:creationId xmlns:a16="http://schemas.microsoft.com/office/drawing/2014/main" id="{C5A5B2C8-92CC-6EE6-B28C-4A8F052DFDA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9525" y="4019548"/>
              <a:ext cx="1238250" cy="35718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41</xdr:row>
      <xdr:rowOff>9525</xdr:rowOff>
    </xdr:from>
    <xdr:to>
      <xdr:col>2</xdr:col>
      <xdr:colOff>9525</xdr:colOff>
      <xdr:row>51</xdr:row>
      <xdr:rowOff>66675</xdr:rowOff>
    </xdr:to>
    <mc:AlternateContent xmlns:mc="http://schemas.openxmlformats.org/markup-compatibility/2006">
      <mc:Choice xmlns:a14="http://schemas.microsoft.com/office/drawing/2010/main" Requires="a14">
        <xdr:graphicFrame macro="">
          <xdr:nvGraphicFramePr>
            <xdr:cNvPr id="20" name="Region">
              <a:extLst>
                <a:ext uri="{FF2B5EF4-FFF2-40B4-BE49-F238E27FC236}">
                  <a16:creationId xmlns:a16="http://schemas.microsoft.com/office/drawing/2014/main" id="{B953CD63-4E65-DB8E-2955-EF9B7242FAA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7820025"/>
              <a:ext cx="1266825" cy="1962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il Desai" refreshedDate="46024.662719907406" createdVersion="8" refreshedVersion="8" minRefreshableVersion="3" recordCount="500" xr:uid="{5CB92C5D-0E81-4E41-AB8C-381720871243}">
  <cacheSource type="worksheet">
    <worksheetSource name="jewels"/>
  </cacheSource>
  <cacheFields count="21">
    <cacheField name="Sr No" numFmtId="0">
      <sharedItems containsSemiMixedTypes="0" containsString="0" containsNumber="1" containsInteger="1" minValue="1" maxValue="500"/>
    </cacheField>
    <cacheField name="Date" numFmtId="14">
      <sharedItems containsSemiMixedTypes="0" containsNonDate="0" containsDate="1" containsString="0" minDate="2020-04-04T00:00:00" maxDate="2024-04-01T00:00:00" count="403">
        <d v="2022-06-30T00:00:00"/>
        <d v="2023-02-09T00:00:00"/>
        <d v="2020-04-09T00:00:00"/>
        <d v="2020-06-24T00:00:00"/>
        <d v="2022-04-18T00:00:00"/>
        <d v="2022-09-15T00:00:00"/>
        <d v="2020-09-05T00:00:00"/>
        <d v="2020-12-29T00:00:00"/>
        <d v="2022-02-24T00:00:00"/>
        <d v="2024-01-25T00:00:00"/>
        <d v="2021-03-11T00:00:00"/>
        <d v="2023-02-01T00:00:00"/>
        <d v="2022-12-27T00:00:00"/>
        <d v="2022-01-07T00:00:00"/>
        <d v="2020-04-12T00:00:00"/>
        <d v="2021-02-11T00:00:00"/>
        <d v="2020-07-19T00:00:00"/>
        <d v="2022-07-20T00:00:00"/>
        <d v="2021-08-03T00:00:00"/>
        <d v="2024-01-13T00:00:00"/>
        <d v="2022-05-16T00:00:00"/>
        <d v="2021-09-08T00:00:00"/>
        <d v="2022-08-30T00:00:00"/>
        <d v="2022-06-08T00:00:00"/>
        <d v="2023-03-14T00:00:00"/>
        <d v="2021-06-29T00:00:00"/>
        <d v="2023-05-18T00:00:00"/>
        <d v="2020-07-08T00:00:00"/>
        <d v="2023-06-06T00:00:00"/>
        <d v="2020-04-11T00:00:00"/>
        <d v="2022-03-15T00:00:00"/>
        <d v="2023-02-26T00:00:00"/>
        <d v="2021-11-20T00:00:00"/>
        <d v="2022-06-24T00:00:00"/>
        <d v="2023-08-15T00:00:00"/>
        <d v="2021-01-07T00:00:00"/>
        <d v="2020-07-28T00:00:00"/>
        <d v="2022-12-19T00:00:00"/>
        <d v="2023-02-02T00:00:00"/>
        <d v="2022-10-22T00:00:00"/>
        <d v="2023-06-24T00:00:00"/>
        <d v="2022-07-04T00:00:00"/>
        <d v="2022-02-01T00:00:00"/>
        <d v="2020-11-28T00:00:00"/>
        <d v="2023-06-08T00:00:00"/>
        <d v="2021-10-11T00:00:00"/>
        <d v="2021-11-17T00:00:00"/>
        <d v="2021-07-01T00:00:00"/>
        <d v="2024-02-16T00:00:00"/>
        <d v="2022-08-31T00:00:00"/>
        <d v="2022-10-13T00:00:00"/>
        <d v="2022-02-16T00:00:00"/>
        <d v="2023-01-23T00:00:00"/>
        <d v="2020-12-24T00:00:00"/>
        <d v="2022-12-23T00:00:00"/>
        <d v="2023-06-21T00:00:00"/>
        <d v="2022-02-05T00:00:00"/>
        <d v="2020-09-27T00:00:00"/>
        <d v="2024-03-30T00:00:00"/>
        <d v="2020-12-25T00:00:00"/>
        <d v="2022-06-29T00:00:00"/>
        <d v="2021-03-13T00:00:00"/>
        <d v="2023-11-27T00:00:00"/>
        <d v="2020-06-09T00:00:00"/>
        <d v="2022-02-25T00:00:00"/>
        <d v="2021-05-15T00:00:00"/>
        <d v="2021-11-25T00:00:00"/>
        <d v="2024-01-03T00:00:00"/>
        <d v="2021-06-24T00:00:00"/>
        <d v="2023-12-24T00:00:00"/>
        <d v="2022-07-09T00:00:00"/>
        <d v="2022-10-05T00:00:00"/>
        <d v="2020-08-14T00:00:00"/>
        <d v="2022-05-12T00:00:00"/>
        <d v="2023-06-23T00:00:00"/>
        <d v="2023-06-13T00:00:00"/>
        <d v="2022-01-16T00:00:00"/>
        <d v="2022-01-08T00:00:00"/>
        <d v="2021-02-15T00:00:00"/>
        <d v="2020-11-16T00:00:00"/>
        <d v="2022-06-07T00:00:00"/>
        <d v="2022-02-06T00:00:00"/>
        <d v="2020-06-30T00:00:00"/>
        <d v="2020-11-29T00:00:00"/>
        <d v="2022-05-04T00:00:00"/>
        <d v="2021-07-09T00:00:00"/>
        <d v="2022-12-04T00:00:00"/>
        <d v="2021-01-12T00:00:00"/>
        <d v="2021-05-29T00:00:00"/>
        <d v="2022-03-22T00:00:00"/>
        <d v="2021-09-05T00:00:00"/>
        <d v="2021-08-06T00:00:00"/>
        <d v="2021-11-01T00:00:00"/>
        <d v="2023-10-01T00:00:00"/>
        <d v="2023-11-18T00:00:00"/>
        <d v="2023-10-30T00:00:00"/>
        <d v="2023-10-15T00:00:00"/>
        <d v="2021-05-03T00:00:00"/>
        <d v="2020-04-04T00:00:00"/>
        <d v="2022-12-20T00:00:00"/>
        <d v="2021-06-27T00:00:00"/>
        <d v="2021-06-01T00:00:00"/>
        <d v="2020-11-14T00:00:00"/>
        <d v="2020-10-09T00:00:00"/>
        <d v="2022-04-12T00:00:00"/>
        <d v="2023-01-07T00:00:00"/>
        <d v="2023-07-05T00:00:00"/>
        <d v="2020-10-19T00:00:00"/>
        <d v="2021-02-06T00:00:00"/>
        <d v="2022-10-23T00:00:00"/>
        <d v="2020-08-03T00:00:00"/>
        <d v="2023-01-02T00:00:00"/>
        <d v="2024-03-28T00:00:00"/>
        <d v="2022-09-18T00:00:00"/>
        <d v="2023-05-12T00:00:00"/>
        <d v="2023-09-15T00:00:00"/>
        <d v="2020-10-15T00:00:00"/>
        <d v="2022-11-14T00:00:00"/>
        <d v="2023-12-21T00:00:00"/>
        <d v="2024-01-15T00:00:00"/>
        <d v="2021-05-04T00:00:00"/>
        <d v="2020-05-29T00:00:00"/>
        <d v="2023-07-26T00:00:00"/>
        <d v="2021-01-05T00:00:00"/>
        <d v="2021-07-02T00:00:00"/>
        <d v="2020-12-02T00:00:00"/>
        <d v="2021-04-10T00:00:00"/>
        <d v="2024-01-20T00:00:00"/>
        <d v="2023-05-06T00:00:00"/>
        <d v="2023-11-22T00:00:00"/>
        <d v="2023-09-03T00:00:00"/>
        <d v="2024-01-29T00:00:00"/>
        <d v="2022-10-24T00:00:00"/>
        <d v="2022-04-11T00:00:00"/>
        <d v="2020-06-11T00:00:00"/>
        <d v="2020-06-27T00:00:00"/>
        <d v="2021-12-17T00:00:00"/>
        <d v="2024-02-27T00:00:00"/>
        <d v="2020-12-13T00:00:00"/>
        <d v="2020-07-02T00:00:00"/>
        <d v="2023-05-08T00:00:00"/>
        <d v="2023-04-08T00:00:00"/>
        <d v="2021-09-13T00:00:00"/>
        <d v="2023-06-26T00:00:00"/>
        <d v="2022-10-08T00:00:00"/>
        <d v="2020-06-20T00:00:00"/>
        <d v="2022-02-14T00:00:00"/>
        <d v="2022-03-19T00:00:00"/>
        <d v="2024-01-23T00:00:00"/>
        <d v="2023-01-10T00:00:00"/>
        <d v="2021-03-17T00:00:00"/>
        <d v="2020-09-12T00:00:00"/>
        <d v="2021-01-08T00:00:00"/>
        <d v="2022-05-23T00:00:00"/>
        <d v="2023-03-21T00:00:00"/>
        <d v="2022-01-24T00:00:00"/>
        <d v="2021-12-23T00:00:00"/>
        <d v="2024-02-26T00:00:00"/>
        <d v="2024-01-10T00:00:00"/>
        <d v="2022-05-27T00:00:00"/>
        <d v="2021-05-01T00:00:00"/>
        <d v="2023-10-12T00:00:00"/>
        <d v="2021-09-24T00:00:00"/>
        <d v="2022-05-26T00:00:00"/>
        <d v="2021-11-26T00:00:00"/>
        <d v="2023-03-08T00:00:00"/>
        <d v="2020-09-19T00:00:00"/>
        <d v="2021-01-11T00:00:00"/>
        <d v="2021-08-08T00:00:00"/>
        <d v="2020-12-30T00:00:00"/>
        <d v="2021-01-21T00:00:00"/>
        <d v="2022-01-10T00:00:00"/>
        <d v="2022-08-07T00:00:00"/>
        <d v="2020-06-02T00:00:00"/>
        <d v="2022-03-25T00:00:00"/>
        <d v="2020-05-25T00:00:00"/>
        <d v="2021-06-04T00:00:00"/>
        <d v="2022-07-12T00:00:00"/>
        <d v="2020-09-09T00:00:00"/>
        <d v="2023-02-28T00:00:00"/>
        <d v="2022-11-17T00:00:00"/>
        <d v="2021-10-02T00:00:00"/>
        <d v="2021-12-22T00:00:00"/>
        <d v="2023-09-11T00:00:00"/>
        <d v="2021-11-24T00:00:00"/>
        <d v="2022-08-06T00:00:00"/>
        <d v="2022-11-04T00:00:00"/>
        <d v="2024-02-15T00:00:00"/>
        <d v="2023-10-13T00:00:00"/>
        <d v="2022-07-23T00:00:00"/>
        <d v="2022-10-20T00:00:00"/>
        <d v="2020-09-01T00:00:00"/>
        <d v="2020-11-02T00:00:00"/>
        <d v="2020-07-06T00:00:00"/>
        <d v="2022-01-06T00:00:00"/>
        <d v="2023-02-27T00:00:00"/>
        <d v="2021-04-22T00:00:00"/>
        <d v="2020-07-12T00:00:00"/>
        <d v="2020-12-08T00:00:00"/>
        <d v="2022-11-02T00:00:00"/>
        <d v="2023-11-15T00:00:00"/>
        <d v="2020-10-24T00:00:00"/>
        <d v="2022-06-16T00:00:00"/>
        <d v="2023-08-05T00:00:00"/>
        <d v="2021-06-06T00:00:00"/>
        <d v="2023-04-27T00:00:00"/>
        <d v="2022-09-22T00:00:00"/>
        <d v="2023-12-02T00:00:00"/>
        <d v="2020-05-03T00:00:00"/>
        <d v="2022-07-16T00:00:00"/>
        <d v="2021-02-22T00:00:00"/>
        <d v="2020-09-03T00:00:00"/>
        <d v="2022-04-13T00:00:00"/>
        <d v="2023-07-17T00:00:00"/>
        <d v="2021-09-01T00:00:00"/>
        <d v="2021-08-12T00:00:00"/>
        <d v="2020-10-08T00:00:00"/>
        <d v="2021-02-09T00:00:00"/>
        <d v="2023-07-07T00:00:00"/>
        <d v="2020-07-18T00:00:00"/>
        <d v="2023-06-07T00:00:00"/>
        <d v="2024-02-20T00:00:00"/>
        <d v="2023-09-26T00:00:00"/>
        <d v="2023-04-11T00:00:00"/>
        <d v="2020-07-30T00:00:00"/>
        <d v="2024-03-31T00:00:00"/>
        <d v="2021-11-06T00:00:00"/>
        <d v="2021-09-11T00:00:00"/>
        <d v="2022-07-07T00:00:00"/>
        <d v="2024-02-29T00:00:00"/>
        <d v="2020-10-07T00:00:00"/>
        <d v="2023-11-13T00:00:00"/>
        <d v="2020-06-21T00:00:00"/>
        <d v="2020-10-03T00:00:00"/>
        <d v="2021-03-14T00:00:00"/>
        <d v="2023-06-11T00:00:00"/>
        <d v="2022-05-21T00:00:00"/>
        <d v="2021-02-19T00:00:00"/>
        <d v="2020-08-13T00:00:00"/>
        <d v="2022-06-17T00:00:00"/>
        <d v="2021-06-22T00:00:00"/>
        <d v="2020-09-11T00:00:00"/>
        <d v="2021-03-05T00:00:00"/>
        <d v="2023-12-16T00:00:00"/>
        <d v="2023-11-02T00:00:00"/>
        <d v="2023-08-25T00:00:00"/>
        <d v="2023-03-06T00:00:00"/>
        <d v="2021-10-04T00:00:00"/>
        <d v="2021-04-28T00:00:00"/>
        <d v="2021-08-04T00:00:00"/>
        <d v="2020-10-12T00:00:00"/>
        <d v="2023-06-10T00:00:00"/>
        <d v="2021-05-27T00:00:00"/>
        <d v="2022-09-16T00:00:00"/>
        <d v="2021-08-07T00:00:00"/>
        <d v="2022-10-17T00:00:00"/>
        <d v="2020-11-09T00:00:00"/>
        <d v="2022-10-12T00:00:00"/>
        <d v="2023-11-21T00:00:00"/>
        <d v="2021-01-15T00:00:00"/>
        <d v="2023-12-26T00:00:00"/>
        <d v="2022-05-15T00:00:00"/>
        <d v="2021-11-07T00:00:00"/>
        <d v="2022-12-26T00:00:00"/>
        <d v="2023-10-23T00:00:00"/>
        <d v="2024-01-16T00:00:00"/>
        <d v="2021-11-13T00:00:00"/>
        <d v="2022-05-08T00:00:00"/>
        <d v="2022-07-08T00:00:00"/>
        <d v="2021-04-19T00:00:00"/>
        <d v="2021-10-17T00:00:00"/>
        <d v="2022-12-11T00:00:00"/>
        <d v="2021-08-24T00:00:00"/>
        <d v="2020-09-26T00:00:00"/>
        <d v="2024-03-01T00:00:00"/>
        <d v="2021-01-17T00:00:00"/>
        <d v="2023-06-19T00:00:00"/>
        <d v="2023-05-10T00:00:00"/>
        <d v="2023-04-13T00:00:00"/>
        <d v="2023-10-31T00:00:00"/>
        <d v="2023-09-16T00:00:00"/>
        <d v="2023-04-10T00:00:00"/>
        <d v="2021-12-03T00:00:00"/>
        <d v="2021-07-31T00:00:00"/>
        <d v="2021-06-03T00:00:00"/>
        <d v="2023-10-29T00:00:00"/>
        <d v="2022-04-02T00:00:00"/>
        <d v="2023-02-24T00:00:00"/>
        <d v="2021-08-28T00:00:00"/>
        <d v="2023-06-05T00:00:00"/>
        <d v="2022-04-30T00:00:00"/>
        <d v="2020-10-11T00:00:00"/>
        <d v="2020-09-06T00:00:00"/>
        <d v="2021-04-08T00:00:00"/>
        <d v="2023-05-09T00:00:00"/>
        <d v="2020-11-27T00:00:00"/>
        <d v="2024-02-22T00:00:00"/>
        <d v="2021-12-27T00:00:00"/>
        <d v="2020-04-06T00:00:00"/>
        <d v="2023-02-17T00:00:00"/>
        <d v="2021-02-07T00:00:00"/>
        <d v="2023-04-16T00:00:00"/>
        <d v="2023-07-01T00:00:00"/>
        <d v="2021-01-29T00:00:00"/>
        <d v="2022-08-20T00:00:00"/>
        <d v="2022-01-30T00:00:00"/>
        <d v="2021-07-04T00:00:00"/>
        <d v="2023-03-19T00:00:00"/>
        <d v="2022-04-24T00:00:00"/>
        <d v="2021-04-16T00:00:00"/>
        <d v="2022-11-26T00:00:00"/>
        <d v="2021-11-14T00:00:00"/>
        <d v="2022-10-04T00:00:00"/>
        <d v="2023-03-27T00:00:00"/>
        <d v="2021-09-22T00:00:00"/>
        <d v="2022-12-09T00:00:00"/>
        <d v="2021-03-03T00:00:00"/>
        <d v="2020-08-19T00:00:00"/>
        <d v="2022-11-25T00:00:00"/>
        <d v="2022-01-12T00:00:00"/>
        <d v="2023-05-16T00:00:00"/>
        <d v="2023-07-16T00:00:00"/>
        <d v="2021-09-26T00:00:00"/>
        <d v="2023-04-21T00:00:00"/>
        <d v="2023-10-19T00:00:00"/>
        <d v="2023-08-17T00:00:00"/>
        <d v="2022-05-28T00:00:00"/>
        <d v="2023-02-04T00:00:00"/>
        <d v="2020-11-17T00:00:00"/>
        <d v="2021-12-15T00:00:00"/>
        <d v="2023-08-11T00:00:00"/>
        <d v="2024-01-17T00:00:00"/>
        <d v="2020-11-13T00:00:00"/>
        <d v="2022-11-16T00:00:00"/>
        <d v="2020-12-06T00:00:00"/>
        <d v="2020-05-12T00:00:00"/>
        <d v="2021-05-25T00:00:00"/>
        <d v="2020-08-29T00:00:00"/>
        <d v="2021-07-29T00:00:00"/>
        <d v="2023-01-26T00:00:00"/>
        <d v="2023-09-04T00:00:00"/>
        <d v="2021-06-30T00:00:00"/>
        <d v="2021-05-08T00:00:00"/>
        <d v="2023-09-30T00:00:00"/>
        <d v="2022-08-04T00:00:00"/>
        <d v="2022-11-13T00:00:00"/>
        <d v="2021-12-16T00:00:00"/>
        <d v="2023-07-22T00:00:00"/>
        <d v="2023-02-19T00:00:00"/>
        <d v="2022-09-24T00:00:00"/>
        <d v="2024-03-21T00:00:00"/>
        <d v="2023-07-09T00:00:00"/>
        <d v="2024-03-07T00:00:00"/>
        <d v="2022-01-05T00:00:00"/>
        <d v="2022-09-27T00:00:00"/>
        <d v="2023-01-11T00:00:00"/>
        <d v="2023-07-31T00:00:00"/>
        <d v="2020-11-08T00:00:00"/>
        <d v="2021-02-08T00:00:00"/>
        <d v="2023-05-04T00:00:00"/>
        <d v="2020-08-24T00:00:00"/>
        <d v="2021-01-22T00:00:00"/>
        <d v="2023-04-28T00:00:00"/>
        <d v="2021-01-04T00:00:00"/>
        <d v="2020-05-08T00:00:00"/>
        <d v="2024-03-14T00:00:00"/>
        <d v="2022-10-15T00:00:00"/>
        <d v="2022-01-02T00:00:00"/>
        <d v="2022-06-10T00:00:00"/>
        <d v="2023-12-08T00:00:00"/>
        <d v="2024-01-08T00:00:00"/>
        <d v="2022-12-07T00:00:00"/>
        <d v="2022-01-14T00:00:00"/>
        <d v="2023-02-12T00:00:00"/>
        <d v="2023-04-30T00:00:00"/>
        <d v="2021-03-08T00:00:00"/>
        <d v="2020-11-26T00:00:00"/>
        <d v="2022-08-14T00:00:00"/>
        <d v="2022-10-16T00:00:00"/>
        <d v="2021-07-22T00:00:00"/>
        <d v="2021-07-12T00:00:00"/>
        <d v="2021-03-26T00:00:00"/>
        <d v="2023-07-28T00:00:00"/>
        <d v="2022-07-24T00:00:00"/>
        <d v="2023-01-27T00:00:00"/>
        <d v="2020-10-31T00:00:00"/>
        <d v="2023-01-28T00:00:00"/>
        <d v="2021-10-09T00:00:00"/>
        <d v="2021-11-22T00:00:00"/>
        <d v="2021-06-08T00:00:00"/>
        <d v="2023-06-20T00:00:00"/>
        <d v="2023-06-30T00:00:00"/>
        <d v="2020-09-23T00:00:00"/>
        <d v="2022-12-08T00:00:00"/>
        <d v="2020-12-28T00:00:00"/>
        <d v="2021-12-29T00:00:00"/>
        <d v="2023-05-26T00:00:00"/>
        <d v="2023-05-20T00:00:00"/>
        <d v="2022-04-22T00:00:00"/>
        <d v="2020-07-04T00:00:00"/>
        <d v="2020-08-02T00:00:00"/>
        <d v="2021-05-19T00:00:00"/>
        <d v="2024-01-18T00:00:00"/>
      </sharedItems>
      <fieldGroup par="20"/>
    </cacheField>
    <cacheField name="Year" numFmtId="0">
      <sharedItems containsSemiMixedTypes="0" containsString="0" containsNumber="1" containsInteger="1" minValue="2020" maxValue="2024" count="5">
        <n v="2022"/>
        <n v="2023"/>
        <n v="2020"/>
        <n v="2024"/>
        <n v="2021"/>
      </sharedItems>
    </cacheField>
    <cacheField name="Month No" numFmtId="0">
      <sharedItems containsSemiMixedTypes="0" containsString="0" containsNumber="1" containsInteger="1" minValue="1" maxValue="12"/>
    </cacheField>
    <cacheField name="Month Name" numFmtId="0">
      <sharedItems count="12">
        <s v="June"/>
        <s v="February"/>
        <s v="April"/>
        <s v="September"/>
        <s v="December"/>
        <s v="January"/>
        <s v="March"/>
        <s v="July"/>
        <s v="August"/>
        <s v="May"/>
        <s v="November"/>
        <s v="October"/>
      </sharedItems>
    </cacheField>
    <cacheField name="Product_ID" numFmtId="0">
      <sharedItems containsSemiMixedTypes="0" containsString="0" containsNumber="1" containsInteger="1" minValue="4" maxValue="500"/>
    </cacheField>
    <cacheField name="Product_Name" numFmtId="0">
      <sharedItems count="20">
        <s v="Ruby &amp; Emerald Earring"/>
        <s v="Ruby &amp; Emerald Pendant"/>
        <s v="Ruby &amp; Emerald Necklace"/>
        <s v="Diamond Necklace"/>
        <s v="Emerald Ring"/>
        <s v="Diamond Earring"/>
        <s v="Diamond Ring"/>
        <s v="Emerald Necklace"/>
        <s v="Ruby Ring"/>
        <s v="Emerald Earring"/>
        <s v="Diamond Pendant"/>
        <s v="Emerald Pendant"/>
        <s v="Ruby &amp; Emerald Bracelet"/>
        <s v="Pearl Ring"/>
        <s v="Diamond Bracelet"/>
        <s v="Ruby Earring"/>
        <s v="Emerald Bracelet"/>
        <s v="Ruby Pendant"/>
        <s v="Ruby Necklace"/>
        <s v="Ruby Bracelet"/>
      </sharedItems>
    </cacheField>
    <cacheField name="Category" numFmtId="0">
      <sharedItems count="5">
        <s v="Earrings"/>
        <s v="Pendant"/>
        <s v="Necklace"/>
        <s v="Rings"/>
        <s v="Bracelets"/>
      </sharedItems>
    </cacheField>
    <cacheField name="Vendor" numFmtId="0">
      <sharedItems/>
    </cacheField>
    <cacheField name="Region" numFmtId="0">
      <sharedItems count="9">
        <s v="Ahmedabad"/>
        <s v="Kolhapur"/>
        <s v="Bangalore"/>
        <s v="Surat"/>
        <s v="Baroda"/>
        <s v="Delhi"/>
        <s v="Mumbai"/>
        <s v="Jaipur"/>
        <s v="Solapur"/>
      </sharedItems>
    </cacheField>
    <cacheField name="Stock_Qty" numFmtId="0">
      <sharedItems containsSemiMixedTypes="0" containsString="0" containsNumber="1" containsInteger="1" minValue="50" maxValue="100"/>
    </cacheField>
    <cacheField name="Cost " numFmtId="3">
      <sharedItems containsSemiMixedTypes="0" containsString="0" containsNumber="1" minValue="248402.85714285716" maxValue="7109447.1428571437"/>
    </cacheField>
    <cacheField name="Unit Price" numFmtId="3">
      <sharedItems containsSemiMixedTypes="0" containsString="0" containsNumber="1" containsInteger="1" minValue="347764" maxValue="9953226"/>
    </cacheField>
    <cacheField name="Sales_Qty" numFmtId="0">
      <sharedItems containsSemiMixedTypes="0" containsString="0" containsNumber="1" containsInteger="1" minValue="1" maxValue="10"/>
    </cacheField>
    <cacheField name="Cost Per Unit" numFmtId="3">
      <sharedItems containsSemiMixedTypes="0" containsString="0" containsNumber="1" minValue="248402.85714285716" maxValue="70233735.714285716"/>
    </cacheField>
    <cacheField name="Total Sales Value" numFmtId="3">
      <sharedItems containsSemiMixedTypes="0" containsString="0" containsNumber="1" containsInteger="1" minValue="347764" maxValue="98327230"/>
    </cacheField>
    <cacheField name="Profit" numFmtId="3">
      <sharedItems containsSemiMixedTypes="0" containsString="0" containsNumber="1" minValue="99361.142857142841" maxValue="28093494.285714284"/>
    </cacheField>
    <cacheField name="profit %" numFmtId="10">
      <sharedItems containsSemiMixedTypes="0" containsString="0" containsNumber="1" minValue="0.39999999999999969" maxValue="0.40000000000000008"/>
    </cacheField>
    <cacheField name="Months (Date)" numFmtId="0" databaseField="0">
      <fieldGroup base="1">
        <rangePr groupBy="months" startDate="2020-04-04T00:00:00" endDate="2024-04-01T00:00:00"/>
        <groupItems count="14">
          <s v="&lt;04-04-2020"/>
          <s v="Jan"/>
          <s v="Feb"/>
          <s v="Mar"/>
          <s v="Apr"/>
          <s v="May"/>
          <s v="Jun"/>
          <s v="Jul"/>
          <s v="Aug"/>
          <s v="Sep"/>
          <s v="Oct"/>
          <s v="Nov"/>
          <s v="Dec"/>
          <s v="&gt;01-04-2024"/>
        </groupItems>
      </fieldGroup>
    </cacheField>
    <cacheField name="Quarters (Date)" numFmtId="0" databaseField="0">
      <fieldGroup base="1">
        <rangePr groupBy="quarters" startDate="2020-04-04T00:00:00" endDate="2024-04-01T00:00:00"/>
        <groupItems count="6">
          <s v="&lt;04-04-2020"/>
          <s v="Qtr1"/>
          <s v="Qtr2"/>
          <s v="Qtr3"/>
          <s v="Qtr4"/>
          <s v="&gt;01-04-2024"/>
        </groupItems>
      </fieldGroup>
    </cacheField>
    <cacheField name="Years (Date)" numFmtId="0" databaseField="0">
      <fieldGroup base="1">
        <rangePr groupBy="years" startDate="2020-04-04T00:00:00" endDate="2024-04-01T00:00:00"/>
        <groupItems count="7">
          <s v="&lt;04-04-2020"/>
          <s v="2020"/>
          <s v="2021"/>
          <s v="2022"/>
          <s v="2023"/>
          <s v="2024"/>
          <s v="&gt;01-04-2024"/>
        </groupItems>
      </fieldGroup>
    </cacheField>
  </cacheFields>
  <extLst>
    <ext xmlns:x14="http://schemas.microsoft.com/office/spreadsheetml/2009/9/main" uri="{725AE2AE-9491-48be-B2B4-4EB974FC3084}">
      <x14:pivotCacheDefinition pivotCacheId="201064987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nil Desai" refreshedDate="46024.671494444447" backgroundQuery="1" createdVersion="8" refreshedVersion="8" minRefreshableVersion="3" recordCount="0" supportSubquery="1" supportAdvancedDrill="1" xr:uid="{17E9DAF6-7CF7-409C-88B9-52AA3F3ADD04}">
  <cacheSource type="external" connectionId="3"/>
  <cacheFields count="4">
    <cacheField name="[Custom_Calendar].[Custom Date (Year)].[Custom Date (Year)]" caption="Custom Date (Year)" numFmtId="0" hierarchy="1" level="1">
      <sharedItems count="5">
        <s v="2020"/>
        <s v="2021"/>
        <s v="2022"/>
        <s v="2023"/>
        <s v="2024"/>
      </sharedItems>
    </cacheField>
    <cacheField name="[Custom_Calendar].[Custom Date (Month)].[Custom Date (Month)]" caption="Custom Date (Month)" numFmtId="0" hierarchy="3" level="1">
      <sharedItems count="12">
        <s v="Apr"/>
        <s v="May"/>
        <s v="Jun"/>
        <s v="Jul"/>
        <s v="Aug"/>
        <s v="Sep"/>
        <s v="Oct"/>
        <s v="Nov"/>
        <s v="Dec"/>
        <s v="Jan"/>
        <s v="Feb"/>
        <s v="Mar"/>
      </sharedItems>
    </cacheField>
    <cacheField name="[Custom_Calendar].[Custom Date (Quarter)].[Custom Date (Quarter)]" caption="Custom Date (Quarter)" numFmtId="0" hierarchy="2" level="1">
      <sharedItems count="4">
        <s v="Qtr2"/>
        <s v="Qtr3"/>
        <s v="Qtr4"/>
        <s v="Qtr1"/>
      </sharedItems>
    </cacheField>
    <cacheField name="[Custom_Calendar].[Custom Date].[Custom Date]" caption="Custom Date" numFmtId="0" level="1">
      <sharedItems containsSemiMixedTypes="0" containsNonDate="0" containsDate="1" containsString="0" minDate="2020-04-01T00:00:00" maxDate="2024-04-01T00:00:00" count="1461">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sharedItems>
    </cacheField>
  </cacheFields>
  <cacheHierarchies count="30">
    <cacheHierarchy uniqueName="[Custom_Calendar].[Custom Date]" caption="Custom Date" attribute="1" time="1" defaultMemberUniqueName="[Custom_Calendar].[Custom Date].[All]" allUniqueName="[Custom_Calendar].[Custom Date].[All]" dimensionUniqueName="[Custom_Calendar]" displayFolder="" count="2" memberValueDatatype="7" unbalanced="0">
      <fieldsUsage count="2">
        <fieldUsage x="-1"/>
        <fieldUsage x="3"/>
      </fieldsUsage>
    </cacheHierarchy>
    <cacheHierarchy uniqueName="[Custom_Calendar].[Custom Date (Year)]" caption="Custom Date (Year)" attribute="1" defaultMemberUniqueName="[Custom_Calendar].[Custom Date (Year)].[All]" allUniqueName="[Custom_Calendar].[Custom Date (Year)].[All]" dimensionUniqueName="[Custom_Calendar]" displayFolder="" count="2" memberValueDatatype="130" unbalanced="0">
      <fieldsUsage count="2">
        <fieldUsage x="-1"/>
        <fieldUsage x="0"/>
      </fieldsUsage>
    </cacheHierarchy>
    <cacheHierarchy uniqueName="[Custom_Calendar].[Custom Date (Quarter)]" caption="Custom Date (Quarter)" attribute="1" defaultMemberUniqueName="[Custom_Calendar].[Custom Date (Quarter)].[All]" allUniqueName="[Custom_Calendar].[Custom Date (Quarter)].[All]" dimensionUniqueName="[Custom_Calendar]" displayFolder="" count="2" memberValueDatatype="130" unbalanced="0">
      <fieldsUsage count="2">
        <fieldUsage x="-1"/>
        <fieldUsage x="2"/>
      </fieldsUsage>
    </cacheHierarchy>
    <cacheHierarchy uniqueName="[Custom_Calendar].[Custom Date (Month)]" caption="Custom Date (Month)" attribute="1" defaultMemberUniqueName="[Custom_Calendar].[Custom Date (Month)].[All]" allUniqueName="[Custom_Calendar].[Custom Date (Month)].[All]" dimensionUniqueName="[Custom_Calendar]" displayFolder="" count="2" memberValueDatatype="130" unbalanced="0">
      <fieldsUsage count="2">
        <fieldUsage x="-1"/>
        <fieldUsage x="1"/>
      </fieldsUsage>
    </cacheHierarchy>
    <cacheHierarchy uniqueName="[jewels].[Sr No]" caption="Sr No" attribute="1" defaultMemberUniqueName="[jewels].[Sr No].[All]" allUniqueName="[jewels].[Sr No].[All]" dimensionUniqueName="[jewels]" displayFolder="" count="0" memberValueDatatype="20" unbalanced="0"/>
    <cacheHierarchy uniqueName="[jewels].[Date]" caption="Date" attribute="1" time="1" defaultMemberUniqueName="[jewels].[Date].[All]" allUniqueName="[jewels].[Date].[All]" dimensionUniqueName="[jewels]" displayFolder="" count="0" memberValueDatatype="7" unbalanced="0"/>
    <cacheHierarchy uniqueName="[jewels].[Year]" caption="Year" attribute="1" defaultMemberUniqueName="[jewels].[Year].[All]" allUniqueName="[jewels].[Year].[All]" dimensionUniqueName="[jewels]" displayFolder="" count="0" memberValueDatatype="20" unbalanced="0"/>
    <cacheHierarchy uniqueName="[jewels].[Month No]" caption="Month No" attribute="1" defaultMemberUniqueName="[jewels].[Month No].[All]" allUniqueName="[jewels].[Month No].[All]" dimensionUniqueName="[jewels]" displayFolder="" count="0" memberValueDatatype="20" unbalanced="0"/>
    <cacheHierarchy uniqueName="[jewels].[Month Name]" caption="Month Name" attribute="1" defaultMemberUniqueName="[jewels].[Month Name].[All]" allUniqueName="[jewels].[Month Name].[All]" dimensionUniqueName="[jewels]" displayFolder="" count="0" memberValueDatatype="130" unbalanced="0"/>
    <cacheHierarchy uniqueName="[jewels].[Product_ID]" caption="Product_ID" attribute="1" defaultMemberUniqueName="[jewels].[Product_ID].[All]" allUniqueName="[jewels].[Product_ID].[All]" dimensionUniqueName="[jewels]" displayFolder="" count="0" memberValueDatatype="20" unbalanced="0"/>
    <cacheHierarchy uniqueName="[jewels].[Product_Name]" caption="Product_Name" attribute="1" defaultMemberUniqueName="[jewels].[Product_Name].[All]" allUniqueName="[jewels].[Product_Name].[All]" dimensionUniqueName="[jewels]" displayFolder="" count="0" memberValueDatatype="130" unbalanced="0"/>
    <cacheHierarchy uniqueName="[jewels].[Category]" caption="Category" attribute="1" defaultMemberUniqueName="[jewels].[Category].[All]" allUniqueName="[jewels].[Category].[All]" dimensionUniqueName="[jewels]" displayFolder="" count="0" memberValueDatatype="130" unbalanced="0"/>
    <cacheHierarchy uniqueName="[jewels].[Vendor]" caption="Vendor" attribute="1" defaultMemberUniqueName="[jewels].[Vendor].[All]" allUniqueName="[jewels].[Vendor].[All]" dimensionUniqueName="[jewels]" displayFolder="" count="0" memberValueDatatype="130" unbalanced="0"/>
    <cacheHierarchy uniqueName="[jewels].[Region]" caption="Region" attribute="1" defaultMemberUniqueName="[jewels].[Region].[All]" allUniqueName="[jewels].[Region].[All]" dimensionUniqueName="[jewels]" displayFolder="" count="0" memberValueDatatype="130" unbalanced="0"/>
    <cacheHierarchy uniqueName="[jewels].[Stock_Qty]" caption="Stock_Qty" attribute="1" defaultMemberUniqueName="[jewels].[Stock_Qty].[All]" allUniqueName="[jewels].[Stock_Qty].[All]" dimensionUniqueName="[jewels]" displayFolder="" count="0" memberValueDatatype="20" unbalanced="0"/>
    <cacheHierarchy uniqueName="[jewels].[Cost]" caption="Cost" attribute="1" defaultMemberUniqueName="[jewels].[Cost].[All]" allUniqueName="[jewels].[Cost].[All]" dimensionUniqueName="[jewels]" displayFolder="" count="0" memberValueDatatype="5" unbalanced="0"/>
    <cacheHierarchy uniqueName="[jewels].[Unit Price]" caption="Unit Price" attribute="1" defaultMemberUniqueName="[jewels].[Unit Price].[All]" allUniqueName="[jewels].[Unit Price].[All]" dimensionUniqueName="[jewels]" displayFolder="" count="0" memberValueDatatype="20" unbalanced="0"/>
    <cacheHierarchy uniqueName="[jewels].[Sales_Qty]" caption="Sales_Qty" attribute="1" defaultMemberUniqueName="[jewels].[Sales_Qty].[All]" allUniqueName="[jewels].[Sales_Qty].[All]" dimensionUniqueName="[jewels]" displayFolder="" count="0" memberValueDatatype="20" unbalanced="0"/>
    <cacheHierarchy uniqueName="[jewels].[Cost Per Unit]" caption="Cost Per Unit" attribute="1" defaultMemberUniqueName="[jewels].[Cost Per Unit].[All]" allUniqueName="[jewels].[Cost Per Unit].[All]" dimensionUniqueName="[jewels]" displayFolder="" count="0" memberValueDatatype="5" unbalanced="0"/>
    <cacheHierarchy uniqueName="[jewels].[Total Sales Value]" caption="Total Sales Value" attribute="1" defaultMemberUniqueName="[jewels].[Total Sales Value].[All]" allUniqueName="[jewels].[Total Sales Value].[All]" dimensionUniqueName="[jewels]" displayFolder="" count="0" memberValueDatatype="20" unbalanced="0"/>
    <cacheHierarchy uniqueName="[jewels].[Profit]" caption="Profit" attribute="1" defaultMemberUniqueName="[jewels].[Profit].[All]" allUniqueName="[jewels].[Profit].[All]" dimensionUniqueName="[jewels]" displayFolder="" count="0" memberValueDatatype="5" unbalanced="0"/>
    <cacheHierarchy uniqueName="[jewels].[profit %]" caption="profit %" attribute="1" defaultMemberUniqueName="[jewels].[profit %].[All]" allUniqueName="[jewels].[profit %].[All]" dimensionUniqueName="[jewels]" displayFolder="" count="0" memberValueDatatype="5" unbalanced="0"/>
    <cacheHierarchy uniqueName="[Custom_Calendar].[Custom Date (Month Index)]" caption="Custom Date (Month Index)" attribute="1" defaultMemberUniqueName="[Custom_Calendar].[Custom Date (Month Index)].[All]" allUniqueName="[Custom_Calendar].[Custom Date (Month Index)].[All]" dimensionUniqueName="[Custom_Calendar]" displayFolder="" count="0" memberValueDatatype="20" unbalanced="0" hidden="1"/>
    <cacheHierarchy uniqueName="[Measures].[Sum of Total Sales Value]" caption="Sum of Total Sales Value" measure="1" displayFolder="" measureGroup="jewels" count="0">
      <extLst>
        <ext xmlns:x15="http://schemas.microsoft.com/office/spreadsheetml/2010/11/main" uri="{B97F6D7D-B522-45F9-BDA1-12C45D357490}">
          <x15:cacheHierarchy aggregatedColumn="19"/>
        </ext>
      </extLst>
    </cacheHierarchy>
    <cacheHierarchy uniqueName="[Measures].[measure 1]" caption="measure 1" measure="1" displayFolder="" measureGroup="Custom_Calendar" count="0"/>
    <cacheHierarchy uniqueName="[Measures].[__XL_Count Custom_Calendar]" caption="__XL_Count Custom_Calendar" measure="1" displayFolder="" measureGroup="Custom_Calendar" count="0" hidden="1"/>
    <cacheHierarchy uniqueName="[Measures].[__XL_Count jewels]" caption="__XL_Count jewels" measure="1" displayFolder="" measureGroup="jewels" count="0" hidden="1"/>
    <cacheHierarchy uniqueName="[Measures].[__No measures defined]" caption="__No measures defined" measure="1" displayFolder="" count="0" hidden="1"/>
    <cacheHierarchy uniqueName="[Measures].[_measure 1 Goal]" caption="_measure 1 Goal" measure="1" displayFolder="" measureGroup="Custom_Calendar" count="0" hidden="1"/>
    <cacheHierarchy uniqueName="[Measures].[_measure 1 Status]" caption="_measure 1 Status" measure="1" iconSet="6" displayFolder="" measureGroup="Custom_Calendar" count="0" hidden="1"/>
  </cacheHierarchies>
  <kpis count="1">
    <kpi uniqueName="measure 1" caption="measure 1" displayFolder="" measureGroup="Custom_Calendar" parent="" value="[Measures].[measure 1]" goal="[Measures].[_measure 1 Goal]" status="[Measures].[_measure 1 Status]" trend="" weight=""/>
  </kpis>
  <dimensions count="3">
    <dimension name="Custom_Calendar" uniqueName="[Custom_Calendar]" caption="Custom_Calendar"/>
    <dimension name="jewels" uniqueName="[jewels]" caption="jewels"/>
    <dimension measure="1" name="Measures" uniqueName="[Measures]" caption="Measures"/>
  </dimensions>
  <measureGroups count="2">
    <measureGroup name="Custom_Calendar" caption="Custom_Calendar"/>
    <measureGroup name="jewels" caption="jewe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n v="6"/>
    <x v="0"/>
    <n v="365"/>
    <x v="0"/>
    <x v="0"/>
    <s v="E"/>
    <x v="0"/>
    <n v="50"/>
    <n v="5842908.5714285718"/>
    <n v="8180072"/>
    <n v="1"/>
    <n v="5842908.5714285718"/>
    <n v="8180072"/>
    <n v="2337163.4285714282"/>
    <n v="0.39999999999999991"/>
  </r>
  <r>
    <n v="2"/>
    <x v="1"/>
    <x v="1"/>
    <n v="2"/>
    <x v="1"/>
    <n v="118"/>
    <x v="1"/>
    <x v="1"/>
    <s v="D"/>
    <x v="1"/>
    <n v="84"/>
    <n v="863980.71428571432"/>
    <n v="1209573"/>
    <n v="2"/>
    <n v="1727961.4285714286"/>
    <n v="2419146"/>
    <n v="691184.57142857136"/>
    <n v="0.39999999999999997"/>
  </r>
  <r>
    <n v="3"/>
    <x v="2"/>
    <x v="2"/>
    <n v="4"/>
    <x v="2"/>
    <n v="199"/>
    <x v="2"/>
    <x v="2"/>
    <s v="F"/>
    <x v="2"/>
    <n v="73"/>
    <n v="3396587.1428571432"/>
    <n v="4755222"/>
    <n v="1"/>
    <n v="3396587.1428571432"/>
    <n v="4755222"/>
    <n v="1358634.8571428568"/>
    <n v="0.39999999999999986"/>
  </r>
  <r>
    <n v="4"/>
    <x v="3"/>
    <x v="2"/>
    <n v="6"/>
    <x v="0"/>
    <n v="457"/>
    <x v="0"/>
    <x v="0"/>
    <s v="C"/>
    <x v="3"/>
    <n v="61"/>
    <n v="6909337.8571428573"/>
    <n v="9673073"/>
    <n v="8"/>
    <n v="55274702.857142858"/>
    <n v="77384584"/>
    <n v="22109881.142857142"/>
    <n v="0.39999999999999997"/>
  </r>
  <r>
    <n v="5"/>
    <x v="4"/>
    <x v="0"/>
    <n v="4"/>
    <x v="2"/>
    <n v="368"/>
    <x v="3"/>
    <x v="2"/>
    <s v="E"/>
    <x v="0"/>
    <n v="86"/>
    <n v="1992810.0000000002"/>
    <n v="2789934"/>
    <n v="7"/>
    <n v="13949670.000000002"/>
    <n v="19529538"/>
    <n v="5579867.9999999981"/>
    <n v="0.3999999999999998"/>
  </r>
  <r>
    <n v="6"/>
    <x v="3"/>
    <x v="2"/>
    <n v="6"/>
    <x v="0"/>
    <n v="58"/>
    <x v="2"/>
    <x v="2"/>
    <s v="C"/>
    <x v="4"/>
    <n v="58"/>
    <n v="859883.57142857148"/>
    <n v="1203837"/>
    <n v="7"/>
    <n v="6019185"/>
    <n v="8426859"/>
    <n v="2407674"/>
    <n v="0.4"/>
  </r>
  <r>
    <n v="7"/>
    <x v="5"/>
    <x v="0"/>
    <n v="9"/>
    <x v="3"/>
    <n v="395"/>
    <x v="4"/>
    <x v="3"/>
    <s v="D"/>
    <x v="1"/>
    <n v="71"/>
    <n v="4328745.7142857146"/>
    <n v="6060244"/>
    <n v="4"/>
    <n v="17314982.857142858"/>
    <n v="24240976"/>
    <n v="6925993.1428571418"/>
    <n v="0.39999999999999991"/>
  </r>
  <r>
    <n v="8"/>
    <x v="6"/>
    <x v="2"/>
    <n v="9"/>
    <x v="3"/>
    <n v="141"/>
    <x v="5"/>
    <x v="0"/>
    <s v="E"/>
    <x v="1"/>
    <n v="96"/>
    <n v="698854.2857142858"/>
    <n v="978396"/>
    <n v="6"/>
    <n v="4193125.7142857146"/>
    <n v="5870376"/>
    <n v="1677250.2857142854"/>
    <n v="0.39999999999999991"/>
  </r>
  <r>
    <n v="9"/>
    <x v="7"/>
    <x v="2"/>
    <n v="12"/>
    <x v="4"/>
    <n v="240"/>
    <x v="6"/>
    <x v="3"/>
    <s v="B"/>
    <x v="0"/>
    <n v="67"/>
    <n v="5903434.2857142864"/>
    <n v="8264808"/>
    <n v="2"/>
    <n v="11806868.571428573"/>
    <n v="16529616"/>
    <n v="4722747.4285714272"/>
    <n v="0.39999999999999986"/>
  </r>
  <r>
    <n v="10"/>
    <x v="8"/>
    <x v="0"/>
    <n v="2"/>
    <x v="1"/>
    <n v="235"/>
    <x v="4"/>
    <x v="3"/>
    <s v="A"/>
    <x v="2"/>
    <n v="68"/>
    <n v="5176534.2857142864"/>
    <n v="7247148"/>
    <n v="1"/>
    <n v="5176534.2857142864"/>
    <n v="7247148"/>
    <n v="2070613.7142857136"/>
    <n v="0.3999999999999998"/>
  </r>
  <r>
    <n v="11"/>
    <x v="9"/>
    <x v="3"/>
    <n v="1"/>
    <x v="5"/>
    <n v="396"/>
    <x v="7"/>
    <x v="2"/>
    <s v="E"/>
    <x v="2"/>
    <n v="80"/>
    <n v="2528960.7142857146"/>
    <n v="3540545"/>
    <n v="10"/>
    <n v="25289607.142857146"/>
    <n v="35405450"/>
    <n v="10115842.857142854"/>
    <n v="0.39999999999999986"/>
  </r>
  <r>
    <n v="12"/>
    <x v="10"/>
    <x v="4"/>
    <n v="3"/>
    <x v="6"/>
    <n v="375"/>
    <x v="4"/>
    <x v="3"/>
    <s v="E"/>
    <x v="5"/>
    <n v="59"/>
    <n v="4057947.8571428573"/>
    <n v="5681127"/>
    <n v="7"/>
    <n v="28405635"/>
    <n v="39767889"/>
    <n v="11362254"/>
    <n v="0.4"/>
  </r>
  <r>
    <n v="13"/>
    <x v="11"/>
    <x v="1"/>
    <n v="2"/>
    <x v="1"/>
    <n v="325"/>
    <x v="6"/>
    <x v="3"/>
    <s v="B"/>
    <x v="6"/>
    <n v="75"/>
    <n v="6519685"/>
    <n v="9127559"/>
    <n v="1"/>
    <n v="6519685"/>
    <n v="9127559"/>
    <n v="2607874"/>
    <n v="0.4"/>
  </r>
  <r>
    <n v="14"/>
    <x v="12"/>
    <x v="0"/>
    <n v="12"/>
    <x v="4"/>
    <n v="300"/>
    <x v="5"/>
    <x v="0"/>
    <s v="C"/>
    <x v="0"/>
    <n v="87"/>
    <n v="2920025"/>
    <n v="4088035"/>
    <n v="6"/>
    <n v="17520150"/>
    <n v="24528210"/>
    <n v="7008060"/>
    <n v="0.4"/>
  </r>
  <r>
    <n v="15"/>
    <x v="13"/>
    <x v="0"/>
    <n v="1"/>
    <x v="5"/>
    <n v="394"/>
    <x v="8"/>
    <x v="3"/>
    <s v="D"/>
    <x v="7"/>
    <n v="69"/>
    <n v="2202652.1428571432"/>
    <n v="3083713"/>
    <n v="1"/>
    <n v="2202652.1428571432"/>
    <n v="3083713"/>
    <n v="881060.85714285681"/>
    <n v="0.3999999999999998"/>
  </r>
  <r>
    <n v="16"/>
    <x v="14"/>
    <x v="2"/>
    <n v="4"/>
    <x v="2"/>
    <n v="431"/>
    <x v="9"/>
    <x v="0"/>
    <s v="B"/>
    <x v="0"/>
    <n v="84"/>
    <n v="5870069.2857142864"/>
    <n v="8218097"/>
    <n v="7"/>
    <n v="41090485.000000007"/>
    <n v="57526679"/>
    <n v="16436193.999999993"/>
    <n v="0.39999999999999974"/>
  </r>
  <r>
    <n v="17"/>
    <x v="15"/>
    <x v="4"/>
    <n v="2"/>
    <x v="1"/>
    <n v="50"/>
    <x v="8"/>
    <x v="3"/>
    <s v="D"/>
    <x v="6"/>
    <n v="74"/>
    <n v="1577182.142857143"/>
    <n v="2208055"/>
    <n v="2"/>
    <n v="3154364.2857142859"/>
    <n v="4416110"/>
    <n v="1261745.7142857141"/>
    <n v="0.39999999999999991"/>
  </r>
  <r>
    <n v="18"/>
    <x v="16"/>
    <x v="2"/>
    <n v="7"/>
    <x v="7"/>
    <n v="302"/>
    <x v="9"/>
    <x v="0"/>
    <s v="E"/>
    <x v="1"/>
    <n v="85"/>
    <n v="3980658.5714285718"/>
    <n v="5572922"/>
    <n v="1"/>
    <n v="3980658.5714285718"/>
    <n v="5572922"/>
    <n v="1592263.4285714282"/>
    <n v="0.39999999999999986"/>
  </r>
  <r>
    <n v="19"/>
    <x v="17"/>
    <x v="0"/>
    <n v="7"/>
    <x v="7"/>
    <n v="496"/>
    <x v="3"/>
    <x v="2"/>
    <s v="F"/>
    <x v="8"/>
    <n v="87"/>
    <n v="4522853.5714285718"/>
    <n v="6331995"/>
    <n v="4"/>
    <n v="18091414.285714287"/>
    <n v="25327980"/>
    <n v="7236565.7142857127"/>
    <n v="0.39999999999999986"/>
  </r>
  <r>
    <n v="20"/>
    <x v="18"/>
    <x v="4"/>
    <n v="8"/>
    <x v="8"/>
    <n v="150"/>
    <x v="10"/>
    <x v="1"/>
    <s v="A"/>
    <x v="2"/>
    <n v="95"/>
    <n v="3127730"/>
    <n v="4378822"/>
    <n v="1"/>
    <n v="3127730"/>
    <n v="4378822"/>
    <n v="1251092"/>
    <n v="0.4"/>
  </r>
  <r>
    <n v="21"/>
    <x v="19"/>
    <x v="3"/>
    <n v="1"/>
    <x v="5"/>
    <n v="5"/>
    <x v="3"/>
    <x v="2"/>
    <s v="E"/>
    <x v="0"/>
    <n v="88"/>
    <n v="3798316.4285714286"/>
    <n v="5317643"/>
    <n v="7"/>
    <n v="26588215"/>
    <n v="37223501"/>
    <n v="10635286"/>
    <n v="0.4"/>
  </r>
  <r>
    <n v="22"/>
    <x v="20"/>
    <x v="0"/>
    <n v="5"/>
    <x v="9"/>
    <n v="385"/>
    <x v="6"/>
    <x v="3"/>
    <s v="F"/>
    <x v="6"/>
    <n v="76"/>
    <n v="6304286.4285714291"/>
    <n v="8826001"/>
    <n v="4"/>
    <n v="25217145.714285716"/>
    <n v="35304004"/>
    <n v="10086858.285714284"/>
    <n v="0.39999999999999986"/>
  </r>
  <r>
    <n v="23"/>
    <x v="21"/>
    <x v="4"/>
    <n v="9"/>
    <x v="3"/>
    <n v="335"/>
    <x v="2"/>
    <x v="2"/>
    <s v="D"/>
    <x v="1"/>
    <n v="84"/>
    <n v="3729477.8571428573"/>
    <n v="5221269"/>
    <n v="5"/>
    <n v="18647389.285714287"/>
    <n v="26106345"/>
    <n v="7458955.7142857127"/>
    <n v="0.39999999999999986"/>
  </r>
  <r>
    <n v="24"/>
    <x v="22"/>
    <x v="0"/>
    <n v="8"/>
    <x v="8"/>
    <n v="30"/>
    <x v="11"/>
    <x v="1"/>
    <s v="A"/>
    <x v="8"/>
    <n v="63"/>
    <n v="3314977.8571428573"/>
    <n v="4640969"/>
    <n v="9"/>
    <n v="29834800.714285716"/>
    <n v="41768721"/>
    <n v="11933920.285714284"/>
    <n v="0.39999999999999991"/>
  </r>
  <r>
    <n v="25"/>
    <x v="23"/>
    <x v="0"/>
    <n v="6"/>
    <x v="0"/>
    <n v="241"/>
    <x v="9"/>
    <x v="0"/>
    <s v="C"/>
    <x v="6"/>
    <n v="90"/>
    <n v="407301.42857142858"/>
    <n v="570222"/>
    <n v="6"/>
    <n v="2443808.5714285714"/>
    <n v="3421332"/>
    <n v="977523.42857142864"/>
    <n v="0.4"/>
  </r>
  <r>
    <n v="26"/>
    <x v="24"/>
    <x v="1"/>
    <n v="3"/>
    <x v="6"/>
    <n v="138"/>
    <x v="11"/>
    <x v="1"/>
    <s v="B"/>
    <x v="6"/>
    <n v="78"/>
    <n v="6545597.8571428573"/>
    <n v="9163837"/>
    <n v="4"/>
    <n v="26182391.428571429"/>
    <n v="36655348"/>
    <n v="10472956.571428571"/>
    <n v="0.39999999999999997"/>
  </r>
  <r>
    <n v="27"/>
    <x v="25"/>
    <x v="4"/>
    <n v="6"/>
    <x v="0"/>
    <n v="27"/>
    <x v="5"/>
    <x v="0"/>
    <s v="D"/>
    <x v="2"/>
    <n v="90"/>
    <n v="2931022.1428571432"/>
    <n v="4103431"/>
    <n v="1"/>
    <n v="2931022.1428571432"/>
    <n v="4103431"/>
    <n v="1172408.8571428568"/>
    <n v="0.39999999999999986"/>
  </r>
  <r>
    <n v="28"/>
    <x v="26"/>
    <x v="1"/>
    <n v="5"/>
    <x v="9"/>
    <n v="381"/>
    <x v="7"/>
    <x v="2"/>
    <s v="E"/>
    <x v="1"/>
    <n v="54"/>
    <n v="1956082.8571428573"/>
    <n v="2738516"/>
    <n v="3"/>
    <n v="5868248.5714285718"/>
    <n v="8215548"/>
    <n v="2347299.4285714282"/>
    <n v="0.39999999999999991"/>
  </r>
  <r>
    <n v="29"/>
    <x v="27"/>
    <x v="2"/>
    <n v="7"/>
    <x v="7"/>
    <n v="423"/>
    <x v="3"/>
    <x v="2"/>
    <s v="B"/>
    <x v="5"/>
    <n v="91"/>
    <n v="310932.1428571429"/>
    <n v="435305"/>
    <n v="8"/>
    <n v="2487457.1428571432"/>
    <n v="3482440"/>
    <n v="994982.85714285681"/>
    <n v="0.3999999999999998"/>
  </r>
  <r>
    <n v="30"/>
    <x v="28"/>
    <x v="1"/>
    <n v="6"/>
    <x v="0"/>
    <n v="38"/>
    <x v="7"/>
    <x v="2"/>
    <s v="F"/>
    <x v="0"/>
    <n v="72"/>
    <n v="5527945"/>
    <n v="7739123"/>
    <n v="7"/>
    <n v="38695615"/>
    <n v="54173861"/>
    <n v="15478246"/>
    <n v="0.4"/>
  </r>
  <r>
    <n v="31"/>
    <x v="29"/>
    <x v="2"/>
    <n v="4"/>
    <x v="2"/>
    <n v="411"/>
    <x v="1"/>
    <x v="1"/>
    <s v="B"/>
    <x v="6"/>
    <n v="61"/>
    <n v="6236086.4285714291"/>
    <n v="8730521"/>
    <n v="3"/>
    <n v="18708259.285714287"/>
    <n v="26191563"/>
    <n v="7483303.7142857127"/>
    <n v="0.39999999999999986"/>
  </r>
  <r>
    <n v="32"/>
    <x v="30"/>
    <x v="0"/>
    <n v="3"/>
    <x v="6"/>
    <n v="131"/>
    <x v="12"/>
    <x v="4"/>
    <s v="A"/>
    <x v="1"/>
    <n v="67"/>
    <n v="4521003.5714285718"/>
    <n v="6329405"/>
    <n v="8"/>
    <n v="36168028.571428575"/>
    <n v="50635240"/>
    <n v="14467211.428571425"/>
    <n v="0.39999999999999986"/>
  </r>
  <r>
    <n v="33"/>
    <x v="31"/>
    <x v="1"/>
    <n v="2"/>
    <x v="1"/>
    <n v="215"/>
    <x v="13"/>
    <x v="3"/>
    <s v="D"/>
    <x v="4"/>
    <n v="79"/>
    <n v="303835"/>
    <n v="425369"/>
    <n v="3"/>
    <n v="911505"/>
    <n v="1276107"/>
    <n v="364602"/>
    <n v="0.4"/>
  </r>
  <r>
    <n v="34"/>
    <x v="32"/>
    <x v="4"/>
    <n v="11"/>
    <x v="10"/>
    <n v="162"/>
    <x v="14"/>
    <x v="4"/>
    <s v="B"/>
    <x v="2"/>
    <n v="83"/>
    <n v="5869996.4285714291"/>
    <n v="8217995"/>
    <n v="8"/>
    <n v="46959971.428571433"/>
    <n v="65743960"/>
    <n v="18783988.571428567"/>
    <n v="0.39999999999999986"/>
  </r>
  <r>
    <n v="35"/>
    <x v="33"/>
    <x v="0"/>
    <n v="6"/>
    <x v="0"/>
    <n v="129"/>
    <x v="3"/>
    <x v="2"/>
    <s v="B"/>
    <x v="3"/>
    <n v="55"/>
    <n v="4919002.8571428573"/>
    <n v="6886604"/>
    <n v="2"/>
    <n v="9838005.7142857146"/>
    <n v="13773208"/>
    <n v="3935202.2857142854"/>
    <n v="0.39999999999999997"/>
  </r>
  <r>
    <n v="36"/>
    <x v="34"/>
    <x v="1"/>
    <n v="8"/>
    <x v="8"/>
    <n v="307"/>
    <x v="10"/>
    <x v="1"/>
    <s v="E"/>
    <x v="1"/>
    <n v="85"/>
    <n v="6401670.7142857146"/>
    <n v="8962339"/>
    <n v="1"/>
    <n v="6401670.7142857146"/>
    <n v="8962339"/>
    <n v="2560668.2857142854"/>
    <n v="0.39999999999999997"/>
  </r>
  <r>
    <n v="37"/>
    <x v="10"/>
    <x v="4"/>
    <n v="3"/>
    <x v="6"/>
    <n v="345"/>
    <x v="3"/>
    <x v="2"/>
    <s v="A"/>
    <x v="5"/>
    <n v="70"/>
    <n v="5234582.1428571427"/>
    <n v="7328415"/>
    <n v="10"/>
    <n v="52345821.428571425"/>
    <n v="73284150"/>
    <n v="20938328.571428575"/>
    <n v="0.40000000000000008"/>
  </r>
  <r>
    <n v="38"/>
    <x v="35"/>
    <x v="4"/>
    <n v="1"/>
    <x v="5"/>
    <n v="270"/>
    <x v="15"/>
    <x v="0"/>
    <s v="F"/>
    <x v="6"/>
    <n v="94"/>
    <n v="640890.71428571432"/>
    <n v="897247"/>
    <n v="4"/>
    <n v="2563562.8571428573"/>
    <n v="3588988"/>
    <n v="1025425.1428571427"/>
    <n v="0.39999999999999991"/>
  </r>
  <r>
    <n v="39"/>
    <x v="36"/>
    <x v="2"/>
    <n v="7"/>
    <x v="7"/>
    <n v="418"/>
    <x v="6"/>
    <x v="3"/>
    <s v="E"/>
    <x v="2"/>
    <n v="57"/>
    <n v="6418432.8571428573"/>
    <n v="8985806"/>
    <n v="8"/>
    <n v="51347462.857142858"/>
    <n v="71886448"/>
    <n v="20538985.142857142"/>
    <n v="0.39999999999999997"/>
  </r>
  <r>
    <n v="40"/>
    <x v="37"/>
    <x v="0"/>
    <n v="12"/>
    <x v="4"/>
    <n v="57"/>
    <x v="10"/>
    <x v="1"/>
    <s v="B"/>
    <x v="5"/>
    <n v="50"/>
    <n v="3139649.2857142859"/>
    <n v="4395509"/>
    <n v="8"/>
    <n v="25117194.285714287"/>
    <n v="35164072"/>
    <n v="10046877.714285713"/>
    <n v="0.39999999999999991"/>
  </r>
  <r>
    <n v="41"/>
    <x v="38"/>
    <x v="1"/>
    <n v="2"/>
    <x v="1"/>
    <n v="173"/>
    <x v="3"/>
    <x v="2"/>
    <s v="D"/>
    <x v="3"/>
    <n v="99"/>
    <n v="6036649.2857142864"/>
    <n v="8451309"/>
    <n v="6"/>
    <n v="36219895.714285716"/>
    <n v="50707854"/>
    <n v="14487958.285714284"/>
    <n v="0.39999999999999991"/>
  </r>
  <r>
    <n v="42"/>
    <x v="39"/>
    <x v="0"/>
    <n v="10"/>
    <x v="11"/>
    <n v="355"/>
    <x v="4"/>
    <x v="3"/>
    <s v="D"/>
    <x v="4"/>
    <n v="77"/>
    <n v="3778580.0000000005"/>
    <n v="5290012"/>
    <n v="1"/>
    <n v="3778580.0000000005"/>
    <n v="5290012"/>
    <n v="1511431.9999999995"/>
    <n v="0.3999999999999998"/>
  </r>
  <r>
    <n v="43"/>
    <x v="40"/>
    <x v="1"/>
    <n v="6"/>
    <x v="0"/>
    <n v="20"/>
    <x v="14"/>
    <x v="4"/>
    <s v="D"/>
    <x v="0"/>
    <n v="83"/>
    <n v="6624021.4285714291"/>
    <n v="9273630"/>
    <n v="4"/>
    <n v="26496085.714285716"/>
    <n v="37094520"/>
    <n v="10598434.285714284"/>
    <n v="0.39999999999999991"/>
  </r>
  <r>
    <n v="44"/>
    <x v="41"/>
    <x v="0"/>
    <n v="7"/>
    <x v="7"/>
    <n v="23"/>
    <x v="4"/>
    <x v="3"/>
    <s v="C"/>
    <x v="0"/>
    <n v="62"/>
    <n v="4409905"/>
    <n v="6173867"/>
    <n v="2"/>
    <n v="8819810"/>
    <n v="12347734"/>
    <n v="3527924"/>
    <n v="0.4"/>
  </r>
  <r>
    <n v="45"/>
    <x v="42"/>
    <x v="0"/>
    <n v="2"/>
    <x v="1"/>
    <n v="358"/>
    <x v="0"/>
    <x v="0"/>
    <s v="F"/>
    <x v="1"/>
    <n v="56"/>
    <n v="5963254.2857142864"/>
    <n v="8348556"/>
    <n v="6"/>
    <n v="35779525.714285716"/>
    <n v="50091336"/>
    <n v="14311810.285714284"/>
    <n v="0.39999999999999991"/>
  </r>
  <r>
    <n v="46"/>
    <x v="43"/>
    <x v="2"/>
    <n v="11"/>
    <x v="10"/>
    <n v="490"/>
    <x v="1"/>
    <x v="1"/>
    <s v="C"/>
    <x v="6"/>
    <n v="68"/>
    <n v="323674.28571428574"/>
    <n v="453144"/>
    <n v="6"/>
    <n v="1942045.7142857146"/>
    <n v="2718864"/>
    <n v="776818.28571428545"/>
    <n v="0.3999999999999998"/>
  </r>
  <r>
    <n v="47"/>
    <x v="44"/>
    <x v="1"/>
    <n v="6"/>
    <x v="0"/>
    <n v="90"/>
    <x v="5"/>
    <x v="0"/>
    <s v="C"/>
    <x v="1"/>
    <n v="85"/>
    <n v="1808634.2857142859"/>
    <n v="2532088"/>
    <n v="10"/>
    <n v="18086342.857142858"/>
    <n v="25320880"/>
    <n v="7234537.1428571418"/>
    <n v="0.39999999999999991"/>
  </r>
  <r>
    <n v="48"/>
    <x v="45"/>
    <x v="4"/>
    <n v="10"/>
    <x v="11"/>
    <n v="21"/>
    <x v="6"/>
    <x v="3"/>
    <s v="A"/>
    <x v="8"/>
    <n v="99"/>
    <n v="5813690"/>
    <n v="8139166"/>
    <n v="2"/>
    <n v="11627380"/>
    <n v="16278332"/>
    <n v="4650952"/>
    <n v="0.4"/>
  </r>
  <r>
    <n v="49"/>
    <x v="46"/>
    <x v="4"/>
    <n v="11"/>
    <x v="10"/>
    <n v="475"/>
    <x v="3"/>
    <x v="2"/>
    <s v="E"/>
    <x v="1"/>
    <n v="69"/>
    <n v="2173274.2857142859"/>
    <n v="3042584"/>
    <n v="3"/>
    <n v="6519822.8571428582"/>
    <n v="9127752"/>
    <n v="2607929.1428571418"/>
    <n v="0.39999999999999974"/>
  </r>
  <r>
    <n v="50"/>
    <x v="47"/>
    <x v="4"/>
    <n v="7"/>
    <x v="7"/>
    <n v="474"/>
    <x v="14"/>
    <x v="4"/>
    <s v="E"/>
    <x v="6"/>
    <n v="92"/>
    <n v="6268691.4285714291"/>
    <n v="8776168"/>
    <n v="8"/>
    <n v="50149531.428571433"/>
    <n v="70209344"/>
    <n v="20059812.571428567"/>
    <n v="0.39999999999999986"/>
  </r>
  <r>
    <n v="51"/>
    <x v="48"/>
    <x v="3"/>
    <n v="2"/>
    <x v="1"/>
    <n v="20"/>
    <x v="12"/>
    <x v="4"/>
    <s v="C"/>
    <x v="4"/>
    <n v="95"/>
    <n v="3986071.4285714286"/>
    <n v="5580500"/>
    <n v="6"/>
    <n v="23916428.571428571"/>
    <n v="33483000"/>
    <n v="9566571.4285714291"/>
    <n v="0.4"/>
  </r>
  <r>
    <n v="52"/>
    <x v="49"/>
    <x v="0"/>
    <n v="8"/>
    <x v="8"/>
    <n v="51"/>
    <x v="4"/>
    <x v="3"/>
    <s v="A"/>
    <x v="4"/>
    <n v="54"/>
    <n v="4664265.7142857146"/>
    <n v="6529972"/>
    <n v="3"/>
    <n v="13992797.142857144"/>
    <n v="19589916"/>
    <n v="5597118.8571428563"/>
    <n v="0.39999999999999991"/>
  </r>
  <r>
    <n v="53"/>
    <x v="50"/>
    <x v="0"/>
    <n v="10"/>
    <x v="11"/>
    <n v="487"/>
    <x v="16"/>
    <x v="4"/>
    <s v="A"/>
    <x v="0"/>
    <n v="88"/>
    <n v="3008473.5714285718"/>
    <n v="4211863"/>
    <n v="9"/>
    <n v="27076262.142857146"/>
    <n v="37906767"/>
    <n v="10830504.857142854"/>
    <n v="0.39999999999999986"/>
  </r>
  <r>
    <n v="54"/>
    <x v="51"/>
    <x v="0"/>
    <n v="2"/>
    <x v="1"/>
    <n v="72"/>
    <x v="0"/>
    <x v="0"/>
    <s v="D"/>
    <x v="3"/>
    <n v="84"/>
    <n v="1816062.8571428573"/>
    <n v="2542488"/>
    <n v="3"/>
    <n v="5448188.5714285718"/>
    <n v="7627464"/>
    <n v="2179275.4285714282"/>
    <n v="0.39999999999999991"/>
  </r>
  <r>
    <n v="55"/>
    <x v="52"/>
    <x v="1"/>
    <n v="1"/>
    <x v="5"/>
    <n v="218"/>
    <x v="12"/>
    <x v="4"/>
    <s v="D"/>
    <x v="5"/>
    <n v="76"/>
    <n v="4461221.4285714291"/>
    <n v="6245710"/>
    <n v="8"/>
    <n v="35689771.428571433"/>
    <n v="49965680"/>
    <n v="14275908.571428567"/>
    <n v="0.39999999999999986"/>
  </r>
  <r>
    <n v="56"/>
    <x v="53"/>
    <x v="2"/>
    <n v="12"/>
    <x v="4"/>
    <n v="246"/>
    <x v="15"/>
    <x v="0"/>
    <s v="C"/>
    <x v="2"/>
    <n v="90"/>
    <n v="1972805.0000000002"/>
    <n v="2761927"/>
    <n v="3"/>
    <n v="5918415.0000000009"/>
    <n v="8285781"/>
    <n v="2367365.9999999991"/>
    <n v="0.3999999999999998"/>
  </r>
  <r>
    <n v="57"/>
    <x v="54"/>
    <x v="0"/>
    <n v="12"/>
    <x v="4"/>
    <n v="43"/>
    <x v="8"/>
    <x v="3"/>
    <s v="C"/>
    <x v="8"/>
    <n v="81"/>
    <n v="2872974.2857142859"/>
    <n v="4022164"/>
    <n v="6"/>
    <n v="17237845.714285716"/>
    <n v="24132984"/>
    <n v="6895138.2857142836"/>
    <n v="0.3999999999999998"/>
  </r>
  <r>
    <n v="58"/>
    <x v="55"/>
    <x v="1"/>
    <n v="6"/>
    <x v="0"/>
    <n v="76"/>
    <x v="6"/>
    <x v="3"/>
    <s v="D"/>
    <x v="3"/>
    <n v="73"/>
    <n v="6885200.7142857146"/>
    <n v="9639281"/>
    <n v="1"/>
    <n v="6885200.7142857146"/>
    <n v="9639281"/>
    <n v="2754080.2857142854"/>
    <n v="0.39999999999999997"/>
  </r>
  <r>
    <n v="59"/>
    <x v="56"/>
    <x v="0"/>
    <n v="2"/>
    <x v="1"/>
    <n v="149"/>
    <x v="16"/>
    <x v="4"/>
    <s v="F"/>
    <x v="0"/>
    <n v="96"/>
    <n v="2797165.7142857146"/>
    <n v="3916032"/>
    <n v="3"/>
    <n v="8391497.1428571437"/>
    <n v="11748096"/>
    <n v="3356598.8571428563"/>
    <n v="0.39999999999999986"/>
  </r>
  <r>
    <n v="60"/>
    <x v="57"/>
    <x v="2"/>
    <n v="9"/>
    <x v="3"/>
    <n v="380"/>
    <x v="8"/>
    <x v="3"/>
    <s v="B"/>
    <x v="4"/>
    <n v="89"/>
    <n v="2840055"/>
    <n v="3976077"/>
    <n v="4"/>
    <n v="11360220"/>
    <n v="15904308"/>
    <n v="4544088"/>
    <n v="0.4"/>
  </r>
  <r>
    <n v="61"/>
    <x v="58"/>
    <x v="3"/>
    <n v="3"/>
    <x v="6"/>
    <n v="400"/>
    <x v="4"/>
    <x v="3"/>
    <s v="F"/>
    <x v="8"/>
    <n v="85"/>
    <n v="5353362.1428571437"/>
    <n v="7494707"/>
    <n v="3"/>
    <n v="16060086.428571431"/>
    <n v="22484121"/>
    <n v="6424034.571428569"/>
    <n v="0.3999999999999998"/>
  </r>
  <r>
    <n v="62"/>
    <x v="59"/>
    <x v="2"/>
    <n v="12"/>
    <x v="4"/>
    <n v="264"/>
    <x v="17"/>
    <x v="1"/>
    <s v="C"/>
    <x v="6"/>
    <n v="66"/>
    <n v="4460057.8571428573"/>
    <n v="6244081"/>
    <n v="2"/>
    <n v="8920115.7142857146"/>
    <n v="12488162"/>
    <n v="3568046.2857142854"/>
    <n v="0.39999999999999997"/>
  </r>
  <r>
    <n v="63"/>
    <x v="60"/>
    <x v="0"/>
    <n v="6"/>
    <x v="0"/>
    <n v="204"/>
    <x v="10"/>
    <x v="1"/>
    <s v="B"/>
    <x v="7"/>
    <n v="53"/>
    <n v="6068709.2857142864"/>
    <n v="8496193"/>
    <n v="6"/>
    <n v="36412255.714285716"/>
    <n v="50977158"/>
    <n v="14564902.285714284"/>
    <n v="0.39999999999999991"/>
  </r>
  <r>
    <n v="64"/>
    <x v="61"/>
    <x v="4"/>
    <n v="3"/>
    <x v="6"/>
    <n v="126"/>
    <x v="0"/>
    <x v="0"/>
    <s v="F"/>
    <x v="8"/>
    <n v="75"/>
    <n v="5377336.4285714291"/>
    <n v="7528271"/>
    <n v="7"/>
    <n v="37641355"/>
    <n v="52697897"/>
    <n v="15056542"/>
    <n v="0.4"/>
  </r>
  <r>
    <n v="65"/>
    <x v="62"/>
    <x v="1"/>
    <n v="11"/>
    <x v="10"/>
    <n v="307"/>
    <x v="1"/>
    <x v="1"/>
    <s v="E"/>
    <x v="4"/>
    <n v="80"/>
    <n v="2367518.5714285714"/>
    <n v="3314526"/>
    <n v="10"/>
    <n v="23675185.714285713"/>
    <n v="33145260"/>
    <n v="9470074.2857142873"/>
    <n v="0.40000000000000008"/>
  </r>
  <r>
    <n v="66"/>
    <x v="63"/>
    <x v="2"/>
    <n v="6"/>
    <x v="0"/>
    <n v="281"/>
    <x v="17"/>
    <x v="1"/>
    <s v="B"/>
    <x v="5"/>
    <n v="79"/>
    <n v="7106357.8571428573"/>
    <n v="9948901"/>
    <n v="8"/>
    <n v="56850862.857142858"/>
    <n v="79591208"/>
    <n v="22740345.142857142"/>
    <n v="0.39999999999999997"/>
  </r>
  <r>
    <n v="67"/>
    <x v="64"/>
    <x v="0"/>
    <n v="2"/>
    <x v="1"/>
    <n v="95"/>
    <x v="16"/>
    <x v="4"/>
    <s v="C"/>
    <x v="4"/>
    <n v="90"/>
    <n v="3250599.2857142859"/>
    <n v="4550839"/>
    <n v="9"/>
    <n v="29255393.571428575"/>
    <n v="40957551"/>
    <n v="11702157.428571425"/>
    <n v="0.39999999999999986"/>
  </r>
  <r>
    <n v="68"/>
    <x v="65"/>
    <x v="4"/>
    <n v="5"/>
    <x v="9"/>
    <n v="413"/>
    <x v="16"/>
    <x v="4"/>
    <s v="B"/>
    <x v="6"/>
    <n v="50"/>
    <n v="3111335.7142857146"/>
    <n v="4355870"/>
    <n v="5"/>
    <n v="15556678.571428573"/>
    <n v="21779350"/>
    <n v="6222671.4285714272"/>
    <n v="0.39999999999999986"/>
  </r>
  <r>
    <n v="69"/>
    <x v="66"/>
    <x v="4"/>
    <n v="11"/>
    <x v="10"/>
    <n v="482"/>
    <x v="7"/>
    <x v="2"/>
    <s v="A"/>
    <x v="2"/>
    <n v="77"/>
    <n v="1292827.142857143"/>
    <n v="1809958"/>
    <n v="8"/>
    <n v="10342617.142857144"/>
    <n v="14479664"/>
    <n v="4137046.8571428563"/>
    <n v="0.39999999999999991"/>
  </r>
  <r>
    <n v="70"/>
    <x v="67"/>
    <x v="3"/>
    <n v="1"/>
    <x v="5"/>
    <n v="204"/>
    <x v="5"/>
    <x v="0"/>
    <s v="C"/>
    <x v="6"/>
    <n v="97"/>
    <n v="6802081.4285714291"/>
    <n v="9522914"/>
    <n v="8"/>
    <n v="54416651.428571433"/>
    <n v="76183312"/>
    <n v="21766660.571428567"/>
    <n v="0.39999999999999991"/>
  </r>
  <r>
    <n v="71"/>
    <x v="68"/>
    <x v="4"/>
    <n v="6"/>
    <x v="0"/>
    <n v="230"/>
    <x v="0"/>
    <x v="0"/>
    <s v="A"/>
    <x v="6"/>
    <n v="60"/>
    <n v="303141.42857142858"/>
    <n v="424398"/>
    <n v="6"/>
    <n v="1818848.5714285714"/>
    <n v="2546388"/>
    <n v="727539.42857142864"/>
    <n v="0.40000000000000008"/>
  </r>
  <r>
    <n v="72"/>
    <x v="69"/>
    <x v="1"/>
    <n v="12"/>
    <x v="4"/>
    <n v="323"/>
    <x v="8"/>
    <x v="3"/>
    <s v="C"/>
    <x v="1"/>
    <n v="76"/>
    <n v="2676724.2857142859"/>
    <n v="3747414"/>
    <n v="7"/>
    <n v="18737070"/>
    <n v="26231898"/>
    <n v="7494828"/>
    <n v="0.4"/>
  </r>
  <r>
    <n v="73"/>
    <x v="70"/>
    <x v="0"/>
    <n v="7"/>
    <x v="7"/>
    <n v="357"/>
    <x v="2"/>
    <x v="2"/>
    <s v="E"/>
    <x v="4"/>
    <n v="95"/>
    <n v="4789064.2857142864"/>
    <n v="6704690"/>
    <n v="3"/>
    <n v="14367192.857142858"/>
    <n v="20114070"/>
    <n v="5746877.1428571418"/>
    <n v="0.39999999999999991"/>
  </r>
  <r>
    <n v="74"/>
    <x v="71"/>
    <x v="0"/>
    <n v="10"/>
    <x v="11"/>
    <n v="124"/>
    <x v="4"/>
    <x v="3"/>
    <s v="A"/>
    <x v="7"/>
    <n v="57"/>
    <n v="4830215"/>
    <n v="6762301"/>
    <n v="5"/>
    <n v="24151075"/>
    <n v="33811505"/>
    <n v="9660430"/>
    <n v="0.4"/>
  </r>
  <r>
    <n v="75"/>
    <x v="72"/>
    <x v="2"/>
    <n v="8"/>
    <x v="8"/>
    <n v="362"/>
    <x v="15"/>
    <x v="0"/>
    <s v="E"/>
    <x v="7"/>
    <n v="51"/>
    <n v="2249064.2857142859"/>
    <n v="3148690"/>
    <n v="4"/>
    <n v="8996257.1428571437"/>
    <n v="12594760"/>
    <n v="3598502.8571428563"/>
    <n v="0.39999999999999986"/>
  </r>
  <r>
    <n v="76"/>
    <x v="73"/>
    <x v="0"/>
    <n v="5"/>
    <x v="9"/>
    <n v="160"/>
    <x v="4"/>
    <x v="3"/>
    <s v="D"/>
    <x v="8"/>
    <n v="72"/>
    <n v="4840670.7142857146"/>
    <n v="6776939"/>
    <n v="9"/>
    <n v="43566036.428571433"/>
    <n v="60992451"/>
    <n v="17426414.571428567"/>
    <n v="0.39999999999999986"/>
  </r>
  <r>
    <n v="77"/>
    <x v="74"/>
    <x v="1"/>
    <n v="6"/>
    <x v="0"/>
    <n v="185"/>
    <x v="18"/>
    <x v="2"/>
    <s v="D"/>
    <x v="4"/>
    <n v="76"/>
    <n v="1572931.4285714286"/>
    <n v="2202104"/>
    <n v="1"/>
    <n v="1572931.4285714286"/>
    <n v="2202104"/>
    <n v="629172.57142857136"/>
    <n v="0.39999999999999997"/>
  </r>
  <r>
    <n v="78"/>
    <x v="75"/>
    <x v="1"/>
    <n v="6"/>
    <x v="0"/>
    <n v="257"/>
    <x v="3"/>
    <x v="2"/>
    <s v="E"/>
    <x v="7"/>
    <n v="100"/>
    <n v="5741555"/>
    <n v="8038177"/>
    <n v="10"/>
    <n v="57415550"/>
    <n v="80381770"/>
    <n v="22966220"/>
    <n v="0.4"/>
  </r>
  <r>
    <n v="79"/>
    <x v="76"/>
    <x v="0"/>
    <n v="1"/>
    <x v="5"/>
    <n v="325"/>
    <x v="19"/>
    <x v="4"/>
    <s v="C"/>
    <x v="1"/>
    <n v="52"/>
    <n v="1408835"/>
    <n v="1972369"/>
    <n v="3"/>
    <n v="4226505"/>
    <n v="5917107"/>
    <n v="1690602"/>
    <n v="0.4"/>
  </r>
  <r>
    <n v="80"/>
    <x v="77"/>
    <x v="0"/>
    <n v="1"/>
    <x v="5"/>
    <n v="15"/>
    <x v="1"/>
    <x v="1"/>
    <s v="E"/>
    <x v="8"/>
    <n v="74"/>
    <n v="999855.00000000012"/>
    <n v="1399797"/>
    <n v="5"/>
    <n v="4999275.0000000009"/>
    <n v="6998985"/>
    <n v="1999709.9999999991"/>
    <n v="0.39999999999999974"/>
  </r>
  <r>
    <n v="81"/>
    <x v="78"/>
    <x v="4"/>
    <n v="2"/>
    <x v="1"/>
    <n v="50"/>
    <x v="2"/>
    <x v="2"/>
    <s v="D"/>
    <x v="1"/>
    <n v="74"/>
    <n v="6444332.8571428573"/>
    <n v="9022066"/>
    <n v="10"/>
    <n v="64443328.571428575"/>
    <n v="90220660"/>
    <n v="25777331.428571425"/>
    <n v="0.39999999999999991"/>
  </r>
  <r>
    <n v="82"/>
    <x v="79"/>
    <x v="2"/>
    <n v="11"/>
    <x v="10"/>
    <n v="347"/>
    <x v="10"/>
    <x v="1"/>
    <s v="A"/>
    <x v="6"/>
    <n v="62"/>
    <n v="4272722.8571428573"/>
    <n v="5981812"/>
    <n v="10"/>
    <n v="42727228.571428575"/>
    <n v="59818120"/>
    <n v="17090891.428571425"/>
    <n v="0.39999999999999991"/>
  </r>
  <r>
    <n v="83"/>
    <x v="16"/>
    <x v="2"/>
    <n v="7"/>
    <x v="7"/>
    <n v="209"/>
    <x v="10"/>
    <x v="1"/>
    <s v="A"/>
    <x v="7"/>
    <n v="54"/>
    <n v="390865.71428571432"/>
    <n v="547212"/>
    <n v="3"/>
    <n v="1172597.142857143"/>
    <n v="1641636"/>
    <n v="469038.85714285704"/>
    <n v="0.39999999999999986"/>
  </r>
  <r>
    <n v="84"/>
    <x v="80"/>
    <x v="0"/>
    <n v="6"/>
    <x v="0"/>
    <n v="319"/>
    <x v="4"/>
    <x v="3"/>
    <s v="B"/>
    <x v="5"/>
    <n v="93"/>
    <n v="4565448.5714285718"/>
    <n v="6391628"/>
    <n v="9"/>
    <n v="41089037.142857149"/>
    <n v="57524652"/>
    <n v="16435614.857142851"/>
    <n v="0.3999999999999998"/>
  </r>
  <r>
    <n v="85"/>
    <x v="81"/>
    <x v="0"/>
    <n v="2"/>
    <x v="1"/>
    <n v="327"/>
    <x v="7"/>
    <x v="2"/>
    <s v="B"/>
    <x v="1"/>
    <n v="93"/>
    <n v="5154437.1428571427"/>
    <n v="7216212"/>
    <n v="2"/>
    <n v="10308874.285714285"/>
    <n v="14432424"/>
    <n v="4123549.7142857146"/>
    <n v="0.4"/>
  </r>
  <r>
    <n v="86"/>
    <x v="82"/>
    <x v="2"/>
    <n v="6"/>
    <x v="0"/>
    <n v="127"/>
    <x v="9"/>
    <x v="0"/>
    <s v="C"/>
    <x v="2"/>
    <n v="53"/>
    <n v="1353587.142857143"/>
    <n v="1895022"/>
    <n v="5"/>
    <n v="6767935.7142857146"/>
    <n v="9475110"/>
    <n v="2707174.2857142854"/>
    <n v="0.39999999999999997"/>
  </r>
  <r>
    <n v="87"/>
    <x v="83"/>
    <x v="2"/>
    <n v="11"/>
    <x v="10"/>
    <n v="62"/>
    <x v="7"/>
    <x v="2"/>
    <s v="E"/>
    <x v="8"/>
    <n v="83"/>
    <n v="599315.71428571432"/>
    <n v="839042"/>
    <n v="4"/>
    <n v="2397262.8571428573"/>
    <n v="3356168"/>
    <n v="958905.14285714272"/>
    <n v="0.39999999999999991"/>
  </r>
  <r>
    <n v="88"/>
    <x v="73"/>
    <x v="0"/>
    <n v="5"/>
    <x v="9"/>
    <n v="10"/>
    <x v="19"/>
    <x v="4"/>
    <s v="E"/>
    <x v="8"/>
    <n v="74"/>
    <n v="520147.85714285716"/>
    <n v="728207"/>
    <n v="9"/>
    <n v="4681330.7142857146"/>
    <n v="6553863"/>
    <n v="1872532.2857142854"/>
    <n v="0.39999999999999991"/>
  </r>
  <r>
    <n v="89"/>
    <x v="84"/>
    <x v="0"/>
    <n v="5"/>
    <x v="9"/>
    <n v="453"/>
    <x v="5"/>
    <x v="0"/>
    <s v="E"/>
    <x v="6"/>
    <n v="57"/>
    <n v="6688345"/>
    <n v="9363683"/>
    <n v="2"/>
    <n v="13376690"/>
    <n v="18727366"/>
    <n v="5350676"/>
    <n v="0.4"/>
  </r>
  <r>
    <n v="90"/>
    <x v="85"/>
    <x v="4"/>
    <n v="7"/>
    <x v="7"/>
    <n v="428"/>
    <x v="9"/>
    <x v="0"/>
    <s v="C"/>
    <x v="2"/>
    <n v="78"/>
    <n v="4453600.7142857146"/>
    <n v="6235041"/>
    <n v="6"/>
    <n v="26721604.285714287"/>
    <n v="37410246"/>
    <n v="10688641.714285713"/>
    <n v="0.39999999999999991"/>
  </r>
  <r>
    <n v="91"/>
    <x v="86"/>
    <x v="0"/>
    <n v="12"/>
    <x v="4"/>
    <n v="488"/>
    <x v="4"/>
    <x v="3"/>
    <s v="B"/>
    <x v="4"/>
    <n v="80"/>
    <n v="5163604.2857142864"/>
    <n v="7229046"/>
    <n v="8"/>
    <n v="41308834.285714291"/>
    <n v="57832368"/>
    <n v="16523533.714285709"/>
    <n v="0.3999999999999998"/>
  </r>
  <r>
    <n v="92"/>
    <x v="87"/>
    <x v="4"/>
    <n v="1"/>
    <x v="5"/>
    <n v="354"/>
    <x v="5"/>
    <x v="0"/>
    <s v="B"/>
    <x v="6"/>
    <n v="71"/>
    <n v="1599783.5714285716"/>
    <n v="2239697"/>
    <n v="10"/>
    <n v="15997835.714285716"/>
    <n v="22396970"/>
    <n v="6399134.2857142836"/>
    <n v="0.3999999999999998"/>
  </r>
  <r>
    <n v="93"/>
    <x v="88"/>
    <x v="4"/>
    <n v="5"/>
    <x v="9"/>
    <n v="4"/>
    <x v="14"/>
    <x v="4"/>
    <s v="D"/>
    <x v="5"/>
    <n v="60"/>
    <n v="6792030"/>
    <n v="9508842"/>
    <n v="2"/>
    <n v="13584060"/>
    <n v="19017684"/>
    <n v="5433624"/>
    <n v="0.4"/>
  </r>
  <r>
    <n v="94"/>
    <x v="89"/>
    <x v="0"/>
    <n v="3"/>
    <x v="6"/>
    <n v="470"/>
    <x v="9"/>
    <x v="0"/>
    <s v="A"/>
    <x v="3"/>
    <n v="72"/>
    <n v="1552965"/>
    <n v="2174151"/>
    <n v="1"/>
    <n v="1552965"/>
    <n v="2174151"/>
    <n v="621186"/>
    <n v="0.4"/>
  </r>
  <r>
    <n v="95"/>
    <x v="90"/>
    <x v="4"/>
    <n v="9"/>
    <x v="3"/>
    <n v="383"/>
    <x v="7"/>
    <x v="2"/>
    <s v="C"/>
    <x v="8"/>
    <n v="96"/>
    <n v="5112812.8571428573"/>
    <n v="7157938"/>
    <n v="5"/>
    <n v="25564064.285714287"/>
    <n v="35789690"/>
    <n v="10225625.714285713"/>
    <n v="0.39999999999999991"/>
  </r>
  <r>
    <n v="96"/>
    <x v="91"/>
    <x v="4"/>
    <n v="8"/>
    <x v="8"/>
    <n v="85"/>
    <x v="19"/>
    <x v="4"/>
    <s v="E"/>
    <x v="7"/>
    <n v="56"/>
    <n v="261432.85714285716"/>
    <n v="366006"/>
    <n v="2"/>
    <n v="522865.71428571432"/>
    <n v="732012"/>
    <n v="209146.28571428568"/>
    <n v="0.39999999999999991"/>
  </r>
  <r>
    <n v="97"/>
    <x v="92"/>
    <x v="4"/>
    <n v="11"/>
    <x v="10"/>
    <n v="431"/>
    <x v="13"/>
    <x v="3"/>
    <s v="C"/>
    <x v="0"/>
    <n v="96"/>
    <n v="435940"/>
    <n v="610316"/>
    <n v="3"/>
    <n v="1307820"/>
    <n v="1830948"/>
    <n v="523128"/>
    <n v="0.4"/>
  </r>
  <r>
    <n v="98"/>
    <x v="93"/>
    <x v="1"/>
    <n v="10"/>
    <x v="11"/>
    <n v="231"/>
    <x v="15"/>
    <x v="0"/>
    <s v="F"/>
    <x v="6"/>
    <n v="73"/>
    <n v="2007713.5714285716"/>
    <n v="2810799"/>
    <n v="3"/>
    <n v="6023140.7142857146"/>
    <n v="8432397"/>
    <n v="2409256.2857142854"/>
    <n v="0.39999999999999991"/>
  </r>
  <r>
    <n v="99"/>
    <x v="94"/>
    <x v="1"/>
    <n v="11"/>
    <x v="10"/>
    <n v="345"/>
    <x v="4"/>
    <x v="3"/>
    <s v="F"/>
    <x v="2"/>
    <n v="82"/>
    <n v="4584464.2857142864"/>
    <n v="6418250"/>
    <n v="8"/>
    <n v="36675714.285714291"/>
    <n v="51346000"/>
    <n v="14670285.714285709"/>
    <n v="0.3999999999999998"/>
  </r>
  <r>
    <n v="100"/>
    <x v="95"/>
    <x v="1"/>
    <n v="10"/>
    <x v="11"/>
    <n v="282"/>
    <x v="9"/>
    <x v="0"/>
    <s v="D"/>
    <x v="8"/>
    <n v="75"/>
    <n v="5388768.5714285718"/>
    <n v="7544276"/>
    <n v="7"/>
    <n v="37721380"/>
    <n v="52809932"/>
    <n v="15088552"/>
    <n v="0.4"/>
  </r>
  <r>
    <n v="101"/>
    <x v="96"/>
    <x v="1"/>
    <n v="10"/>
    <x v="11"/>
    <n v="463"/>
    <x v="7"/>
    <x v="2"/>
    <s v="A"/>
    <x v="4"/>
    <n v="51"/>
    <n v="6214226.4285714291"/>
    <n v="8699917"/>
    <n v="10"/>
    <n v="62142264.285714291"/>
    <n v="86999170"/>
    <n v="24856905.714285709"/>
    <n v="0.39999999999999986"/>
  </r>
  <r>
    <n v="102"/>
    <x v="97"/>
    <x v="4"/>
    <n v="5"/>
    <x v="9"/>
    <n v="53"/>
    <x v="4"/>
    <x v="3"/>
    <s v="A"/>
    <x v="2"/>
    <n v="90"/>
    <n v="5278090"/>
    <n v="7389326"/>
    <n v="10"/>
    <n v="52780900"/>
    <n v="73893260"/>
    <n v="21112360"/>
    <n v="0.4"/>
  </r>
  <r>
    <n v="103"/>
    <x v="98"/>
    <x v="2"/>
    <n v="4"/>
    <x v="2"/>
    <n v="500"/>
    <x v="19"/>
    <x v="4"/>
    <s v="F"/>
    <x v="4"/>
    <n v="95"/>
    <n v="656817.85714285716"/>
    <n v="919545"/>
    <n v="9"/>
    <n v="5911360.7142857146"/>
    <n v="8275905"/>
    <n v="2364544.2857142854"/>
    <n v="0.39999999999999991"/>
  </r>
  <r>
    <n v="104"/>
    <x v="99"/>
    <x v="0"/>
    <n v="12"/>
    <x v="4"/>
    <n v="129"/>
    <x v="2"/>
    <x v="2"/>
    <s v="D"/>
    <x v="8"/>
    <n v="86"/>
    <n v="2986760"/>
    <n v="4181464"/>
    <n v="9"/>
    <n v="26880840"/>
    <n v="37633176"/>
    <n v="10752336"/>
    <n v="0.4"/>
  </r>
  <r>
    <n v="105"/>
    <x v="100"/>
    <x v="4"/>
    <n v="6"/>
    <x v="0"/>
    <n v="283"/>
    <x v="17"/>
    <x v="1"/>
    <s v="A"/>
    <x v="8"/>
    <n v="97"/>
    <n v="6175872.8571428573"/>
    <n v="8646222"/>
    <n v="7"/>
    <n v="43231110"/>
    <n v="60523554"/>
    <n v="17292444"/>
    <n v="0.4"/>
  </r>
  <r>
    <n v="106"/>
    <x v="101"/>
    <x v="4"/>
    <n v="6"/>
    <x v="0"/>
    <n v="107"/>
    <x v="18"/>
    <x v="2"/>
    <s v="A"/>
    <x v="8"/>
    <n v="87"/>
    <n v="420242.85714285716"/>
    <n v="588340"/>
    <n v="9"/>
    <n v="3782185.7142857146"/>
    <n v="5295060"/>
    <n v="1512874.2857142854"/>
    <n v="0.39999999999999991"/>
  </r>
  <r>
    <n v="107"/>
    <x v="102"/>
    <x v="2"/>
    <n v="11"/>
    <x v="10"/>
    <n v="360"/>
    <x v="5"/>
    <x v="0"/>
    <s v="E"/>
    <x v="5"/>
    <n v="63"/>
    <n v="5819615.7142857146"/>
    <n v="8147462"/>
    <n v="8"/>
    <n v="46556925.714285716"/>
    <n v="65179696"/>
    <n v="18622770.285714284"/>
    <n v="0.39999999999999991"/>
  </r>
  <r>
    <n v="108"/>
    <x v="61"/>
    <x v="4"/>
    <n v="3"/>
    <x v="6"/>
    <n v="120"/>
    <x v="2"/>
    <x v="2"/>
    <s v="C"/>
    <x v="5"/>
    <n v="87"/>
    <n v="3708350.7142857146"/>
    <n v="5191691"/>
    <n v="9"/>
    <n v="33375156.428571433"/>
    <n v="46725219"/>
    <n v="13350062.571428567"/>
    <n v="0.3999999999999998"/>
  </r>
  <r>
    <n v="109"/>
    <x v="103"/>
    <x v="2"/>
    <n v="10"/>
    <x v="11"/>
    <n v="462"/>
    <x v="0"/>
    <x v="0"/>
    <s v="B"/>
    <x v="5"/>
    <n v="56"/>
    <n v="5358997.8571428573"/>
    <n v="7502597"/>
    <n v="9"/>
    <n v="48230980.714285716"/>
    <n v="67523373"/>
    <n v="19292392.285714284"/>
    <n v="0.39999999999999991"/>
  </r>
  <r>
    <n v="110"/>
    <x v="104"/>
    <x v="0"/>
    <n v="4"/>
    <x v="2"/>
    <n v="79"/>
    <x v="4"/>
    <x v="3"/>
    <s v="C"/>
    <x v="4"/>
    <n v="91"/>
    <n v="4154010.0000000005"/>
    <n v="5815614"/>
    <n v="2"/>
    <n v="8308020.0000000009"/>
    <n v="11631228"/>
    <n v="3323207.9999999991"/>
    <n v="0.39999999999999986"/>
  </r>
  <r>
    <n v="111"/>
    <x v="105"/>
    <x v="1"/>
    <n v="1"/>
    <x v="5"/>
    <n v="160"/>
    <x v="5"/>
    <x v="0"/>
    <s v="E"/>
    <x v="8"/>
    <n v="99"/>
    <n v="2110000.7142857146"/>
    <n v="2954001"/>
    <n v="5"/>
    <n v="10550003.571428573"/>
    <n v="14770005"/>
    <n v="4220001.4285714272"/>
    <n v="0.3999999999999998"/>
  </r>
  <r>
    <n v="112"/>
    <x v="106"/>
    <x v="1"/>
    <n v="7"/>
    <x v="7"/>
    <n v="209"/>
    <x v="15"/>
    <x v="0"/>
    <s v="A"/>
    <x v="1"/>
    <n v="68"/>
    <n v="6118880"/>
    <n v="8566432"/>
    <n v="2"/>
    <n v="12237760"/>
    <n v="17132864"/>
    <n v="4895104"/>
    <n v="0.4"/>
  </r>
  <r>
    <n v="113"/>
    <x v="107"/>
    <x v="2"/>
    <n v="10"/>
    <x v="11"/>
    <n v="298"/>
    <x v="15"/>
    <x v="0"/>
    <s v="C"/>
    <x v="5"/>
    <n v="67"/>
    <n v="5516218.5714285718"/>
    <n v="7722706"/>
    <n v="7"/>
    <n v="38613530"/>
    <n v="54058942"/>
    <n v="15445412"/>
    <n v="0.4"/>
  </r>
  <r>
    <n v="114"/>
    <x v="108"/>
    <x v="4"/>
    <n v="2"/>
    <x v="1"/>
    <n v="458"/>
    <x v="8"/>
    <x v="3"/>
    <s v="A"/>
    <x v="1"/>
    <n v="69"/>
    <n v="2466046.4285714286"/>
    <n v="3452465"/>
    <n v="9"/>
    <n v="22194417.857142858"/>
    <n v="31072185"/>
    <n v="8877767.1428571418"/>
    <n v="0.39999999999999991"/>
  </r>
  <r>
    <n v="115"/>
    <x v="109"/>
    <x v="0"/>
    <n v="10"/>
    <x v="11"/>
    <n v="194"/>
    <x v="18"/>
    <x v="2"/>
    <s v="B"/>
    <x v="1"/>
    <n v="81"/>
    <n v="1677613.5714285716"/>
    <n v="2348659"/>
    <n v="10"/>
    <n v="16776135.714285716"/>
    <n v="23486590"/>
    <n v="6710454.2857142836"/>
    <n v="0.3999999999999998"/>
  </r>
  <r>
    <n v="116"/>
    <x v="7"/>
    <x v="2"/>
    <n v="12"/>
    <x v="4"/>
    <n v="97"/>
    <x v="10"/>
    <x v="1"/>
    <s v="C"/>
    <x v="8"/>
    <n v="50"/>
    <n v="2386508.5714285714"/>
    <n v="3341112"/>
    <n v="3"/>
    <n v="7159525.7142857146"/>
    <n v="10023336"/>
    <n v="2863810.2857142854"/>
    <n v="0.39999999999999997"/>
  </r>
  <r>
    <n v="117"/>
    <x v="110"/>
    <x v="2"/>
    <n v="8"/>
    <x v="8"/>
    <n v="37"/>
    <x v="16"/>
    <x v="4"/>
    <s v="C"/>
    <x v="1"/>
    <n v="60"/>
    <n v="3148940"/>
    <n v="4408516"/>
    <n v="10"/>
    <n v="31489400"/>
    <n v="44085160"/>
    <n v="12595760"/>
    <n v="0.4"/>
  </r>
  <r>
    <n v="118"/>
    <x v="111"/>
    <x v="1"/>
    <n v="1"/>
    <x v="5"/>
    <n v="134"/>
    <x v="13"/>
    <x v="3"/>
    <s v="B"/>
    <x v="5"/>
    <n v="86"/>
    <n v="451495.71428571432"/>
    <n v="632094"/>
    <n v="3"/>
    <n v="1354487.142857143"/>
    <n v="1896282"/>
    <n v="541794.85714285704"/>
    <n v="0.39999999999999991"/>
  </r>
  <r>
    <n v="119"/>
    <x v="112"/>
    <x v="3"/>
    <n v="3"/>
    <x v="6"/>
    <n v="383"/>
    <x v="0"/>
    <x v="0"/>
    <s v="B"/>
    <x v="2"/>
    <n v="100"/>
    <n v="402997.1428571429"/>
    <n v="564196"/>
    <n v="6"/>
    <n v="2417982.8571428573"/>
    <n v="3385176"/>
    <n v="967193.14285714272"/>
    <n v="0.39999999999999991"/>
  </r>
  <r>
    <n v="120"/>
    <x v="113"/>
    <x v="0"/>
    <n v="9"/>
    <x v="3"/>
    <n v="197"/>
    <x v="6"/>
    <x v="3"/>
    <s v="F"/>
    <x v="3"/>
    <n v="51"/>
    <n v="5702813.5714285718"/>
    <n v="7983939"/>
    <n v="10"/>
    <n v="57028135.714285716"/>
    <n v="79839390"/>
    <n v="22811254.285714284"/>
    <n v="0.39999999999999997"/>
  </r>
  <r>
    <n v="121"/>
    <x v="89"/>
    <x v="0"/>
    <n v="3"/>
    <x v="6"/>
    <n v="386"/>
    <x v="8"/>
    <x v="3"/>
    <s v="F"/>
    <x v="8"/>
    <n v="80"/>
    <n v="3122346.4285714286"/>
    <n v="4371285"/>
    <n v="1"/>
    <n v="3122346.4285714286"/>
    <n v="4371285"/>
    <n v="1248938.5714285714"/>
    <n v="0.39999999999999997"/>
  </r>
  <r>
    <n v="122"/>
    <x v="114"/>
    <x v="1"/>
    <n v="5"/>
    <x v="9"/>
    <n v="293"/>
    <x v="9"/>
    <x v="0"/>
    <s v="F"/>
    <x v="4"/>
    <n v="50"/>
    <n v="4935551.4285714291"/>
    <n v="6909772"/>
    <n v="8"/>
    <n v="39484411.428571433"/>
    <n v="55278176"/>
    <n v="15793764.571428567"/>
    <n v="0.39999999999999986"/>
  </r>
  <r>
    <n v="123"/>
    <x v="26"/>
    <x v="1"/>
    <n v="5"/>
    <x v="9"/>
    <n v="311"/>
    <x v="6"/>
    <x v="3"/>
    <s v="D"/>
    <x v="4"/>
    <n v="59"/>
    <n v="6972869.2857142864"/>
    <n v="9762017"/>
    <n v="6"/>
    <n v="41837215.714285716"/>
    <n v="58572102"/>
    <n v="16734886.285714284"/>
    <n v="0.39999999999999991"/>
  </r>
  <r>
    <n v="124"/>
    <x v="115"/>
    <x v="1"/>
    <n v="9"/>
    <x v="3"/>
    <n v="329"/>
    <x v="7"/>
    <x v="2"/>
    <s v="F"/>
    <x v="8"/>
    <n v="70"/>
    <n v="2923585"/>
    <n v="4093019"/>
    <n v="6"/>
    <n v="17541510"/>
    <n v="24558114"/>
    <n v="7016604"/>
    <n v="0.4"/>
  </r>
  <r>
    <n v="125"/>
    <x v="68"/>
    <x v="4"/>
    <n v="6"/>
    <x v="0"/>
    <n v="56"/>
    <x v="8"/>
    <x v="3"/>
    <s v="D"/>
    <x v="7"/>
    <n v="77"/>
    <n v="2905671.4285714286"/>
    <n v="4067940"/>
    <n v="6"/>
    <n v="17434028.571428571"/>
    <n v="24407640"/>
    <n v="6973611.4285714291"/>
    <n v="0.4"/>
  </r>
  <r>
    <n v="126"/>
    <x v="98"/>
    <x v="2"/>
    <n v="4"/>
    <x v="2"/>
    <n v="138"/>
    <x v="7"/>
    <x v="2"/>
    <s v="D"/>
    <x v="0"/>
    <n v="80"/>
    <n v="790938.57142857148"/>
    <n v="1107314"/>
    <n v="1"/>
    <n v="790938.57142857148"/>
    <n v="1107314"/>
    <n v="316375.42857142852"/>
    <n v="0.39999999999999991"/>
  </r>
  <r>
    <n v="127"/>
    <x v="116"/>
    <x v="2"/>
    <n v="10"/>
    <x v="11"/>
    <n v="325"/>
    <x v="19"/>
    <x v="4"/>
    <s v="F"/>
    <x v="8"/>
    <n v="70"/>
    <n v="1380204.2857142859"/>
    <n v="1932286"/>
    <n v="7"/>
    <n v="9661430.0000000019"/>
    <n v="13526002"/>
    <n v="3864571.9999999981"/>
    <n v="0.39999999999999974"/>
  </r>
  <r>
    <n v="128"/>
    <x v="117"/>
    <x v="0"/>
    <n v="11"/>
    <x v="10"/>
    <n v="474"/>
    <x v="8"/>
    <x v="3"/>
    <s v="E"/>
    <x v="2"/>
    <n v="70"/>
    <n v="1509942.8571428573"/>
    <n v="2113920"/>
    <n v="7"/>
    <n v="10569600"/>
    <n v="14797440"/>
    <n v="4227840"/>
    <n v="0.4"/>
  </r>
  <r>
    <n v="129"/>
    <x v="118"/>
    <x v="1"/>
    <n v="12"/>
    <x v="4"/>
    <n v="403"/>
    <x v="18"/>
    <x v="2"/>
    <s v="D"/>
    <x v="0"/>
    <n v="71"/>
    <n v="1658464.2857142859"/>
    <n v="2321850"/>
    <n v="3"/>
    <n v="4975392.8571428582"/>
    <n v="6965550"/>
    <n v="1990157.1428571418"/>
    <n v="0.39999999999999969"/>
  </r>
  <r>
    <n v="130"/>
    <x v="119"/>
    <x v="3"/>
    <n v="1"/>
    <x v="5"/>
    <n v="293"/>
    <x v="5"/>
    <x v="0"/>
    <s v="F"/>
    <x v="8"/>
    <n v="64"/>
    <n v="2236141.4285714286"/>
    <n v="3130598"/>
    <n v="6"/>
    <n v="13416848.571428571"/>
    <n v="18783588"/>
    <n v="5366739.4285714291"/>
    <n v="0.40000000000000008"/>
  </r>
  <r>
    <n v="131"/>
    <x v="120"/>
    <x v="4"/>
    <n v="5"/>
    <x v="9"/>
    <n v="174"/>
    <x v="8"/>
    <x v="3"/>
    <s v="D"/>
    <x v="7"/>
    <n v="60"/>
    <n v="2692526.4285714286"/>
    <n v="3769537"/>
    <n v="10"/>
    <n v="26925264.285714287"/>
    <n v="37695370"/>
    <n v="10770105.714285713"/>
    <n v="0.39999999999999991"/>
  </r>
  <r>
    <n v="132"/>
    <x v="121"/>
    <x v="2"/>
    <n v="5"/>
    <x v="9"/>
    <n v="152"/>
    <x v="3"/>
    <x v="2"/>
    <s v="C"/>
    <x v="3"/>
    <n v="91"/>
    <n v="3554289.2857142859"/>
    <n v="4976005"/>
    <n v="10"/>
    <n v="35542892.857142858"/>
    <n v="49760050"/>
    <n v="14217157.142857142"/>
    <n v="0.39999999999999997"/>
  </r>
  <r>
    <n v="133"/>
    <x v="122"/>
    <x v="1"/>
    <n v="7"/>
    <x v="7"/>
    <n v="433"/>
    <x v="12"/>
    <x v="4"/>
    <s v="D"/>
    <x v="2"/>
    <n v="93"/>
    <n v="4538340"/>
    <n v="6353676"/>
    <n v="7"/>
    <n v="31768380"/>
    <n v="44475732"/>
    <n v="12707352"/>
    <n v="0.4"/>
  </r>
  <r>
    <n v="134"/>
    <x v="123"/>
    <x v="4"/>
    <n v="1"/>
    <x v="5"/>
    <n v="353"/>
    <x v="4"/>
    <x v="3"/>
    <s v="A"/>
    <x v="2"/>
    <n v="53"/>
    <n v="3916670.0000000005"/>
    <n v="5483338"/>
    <n v="9"/>
    <n v="35250030.000000007"/>
    <n v="49350042"/>
    <n v="14100011.999999993"/>
    <n v="0.39999999999999969"/>
  </r>
  <r>
    <n v="135"/>
    <x v="124"/>
    <x v="4"/>
    <n v="7"/>
    <x v="7"/>
    <n v="364"/>
    <x v="8"/>
    <x v="3"/>
    <s v="D"/>
    <x v="4"/>
    <n v="68"/>
    <n v="1629874.2857142859"/>
    <n v="2281824"/>
    <n v="7"/>
    <n v="11409120.000000002"/>
    <n v="15972768"/>
    <n v="4563647.9999999981"/>
    <n v="0.39999999999999974"/>
  </r>
  <r>
    <n v="136"/>
    <x v="125"/>
    <x v="2"/>
    <n v="12"/>
    <x v="4"/>
    <n v="397"/>
    <x v="10"/>
    <x v="1"/>
    <s v="F"/>
    <x v="5"/>
    <n v="51"/>
    <n v="2839525"/>
    <n v="3975335"/>
    <n v="6"/>
    <n v="17037150"/>
    <n v="23852010"/>
    <n v="6814860"/>
    <n v="0.4"/>
  </r>
  <r>
    <n v="137"/>
    <x v="126"/>
    <x v="4"/>
    <n v="4"/>
    <x v="2"/>
    <n v="179"/>
    <x v="11"/>
    <x v="1"/>
    <s v="F"/>
    <x v="1"/>
    <n v="80"/>
    <n v="4514395.7142857146"/>
    <n v="6320154"/>
    <n v="9"/>
    <n v="40629561.428571433"/>
    <n v="56881386"/>
    <n v="16251824.571428567"/>
    <n v="0.39999999999999986"/>
  </r>
  <r>
    <n v="138"/>
    <x v="127"/>
    <x v="3"/>
    <n v="1"/>
    <x v="5"/>
    <n v="107"/>
    <x v="0"/>
    <x v="0"/>
    <s v="C"/>
    <x v="8"/>
    <n v="82"/>
    <n v="6184243.5714285718"/>
    <n v="8657941"/>
    <n v="5"/>
    <n v="30921217.857142858"/>
    <n v="43289705"/>
    <n v="12368487.142857142"/>
    <n v="0.39999999999999997"/>
  </r>
  <r>
    <n v="139"/>
    <x v="128"/>
    <x v="1"/>
    <n v="5"/>
    <x v="9"/>
    <n v="264"/>
    <x v="0"/>
    <x v="0"/>
    <s v="A"/>
    <x v="4"/>
    <n v="97"/>
    <n v="4733778.5714285718"/>
    <n v="6627290"/>
    <n v="5"/>
    <n v="23668892.857142858"/>
    <n v="33136450"/>
    <n v="9467557.1428571418"/>
    <n v="0.39999999999999991"/>
  </r>
  <r>
    <n v="140"/>
    <x v="129"/>
    <x v="1"/>
    <n v="11"/>
    <x v="10"/>
    <n v="97"/>
    <x v="2"/>
    <x v="2"/>
    <s v="C"/>
    <x v="8"/>
    <n v="74"/>
    <n v="4940695"/>
    <n v="6916973"/>
    <n v="10"/>
    <n v="49406950"/>
    <n v="69169730"/>
    <n v="19762780"/>
    <n v="0.4"/>
  </r>
  <r>
    <n v="141"/>
    <x v="130"/>
    <x v="1"/>
    <n v="9"/>
    <x v="3"/>
    <n v="471"/>
    <x v="16"/>
    <x v="4"/>
    <s v="E"/>
    <x v="1"/>
    <n v="96"/>
    <n v="2764625"/>
    <n v="3870475"/>
    <n v="4"/>
    <n v="11058500"/>
    <n v="15481900"/>
    <n v="4423400"/>
    <n v="0.4"/>
  </r>
  <r>
    <n v="142"/>
    <x v="131"/>
    <x v="3"/>
    <n v="1"/>
    <x v="5"/>
    <n v="170"/>
    <x v="6"/>
    <x v="3"/>
    <s v="D"/>
    <x v="1"/>
    <n v="76"/>
    <n v="5516716.4285714291"/>
    <n v="7723403"/>
    <n v="2"/>
    <n v="11033432.857142858"/>
    <n v="15446806"/>
    <n v="4413373.1428571418"/>
    <n v="0.39999999999999986"/>
  </r>
  <r>
    <n v="143"/>
    <x v="132"/>
    <x v="0"/>
    <n v="10"/>
    <x v="11"/>
    <n v="8"/>
    <x v="1"/>
    <x v="1"/>
    <s v="C"/>
    <x v="2"/>
    <n v="79"/>
    <n v="565874.2857142858"/>
    <n v="792224"/>
    <n v="4"/>
    <n v="2263497.1428571432"/>
    <n v="3168896"/>
    <n v="905398.85714285681"/>
    <n v="0.3999999999999998"/>
  </r>
  <r>
    <n v="144"/>
    <x v="133"/>
    <x v="0"/>
    <n v="4"/>
    <x v="2"/>
    <n v="47"/>
    <x v="2"/>
    <x v="2"/>
    <s v="B"/>
    <x v="2"/>
    <n v="67"/>
    <n v="720238.57142857148"/>
    <n v="1008334"/>
    <n v="8"/>
    <n v="5761908.5714285718"/>
    <n v="8066672"/>
    <n v="2304763.4285714282"/>
    <n v="0.39999999999999991"/>
  </r>
  <r>
    <n v="145"/>
    <x v="134"/>
    <x v="2"/>
    <n v="6"/>
    <x v="0"/>
    <n v="263"/>
    <x v="16"/>
    <x v="4"/>
    <s v="D"/>
    <x v="8"/>
    <n v="89"/>
    <n v="2001356.4285714286"/>
    <n v="2801899"/>
    <n v="5"/>
    <n v="10006782.142857144"/>
    <n v="14009495"/>
    <n v="4002712.8571428563"/>
    <n v="0.39999999999999991"/>
  </r>
  <r>
    <n v="146"/>
    <x v="135"/>
    <x v="2"/>
    <n v="6"/>
    <x v="0"/>
    <n v="265"/>
    <x v="6"/>
    <x v="3"/>
    <s v="F"/>
    <x v="5"/>
    <n v="82"/>
    <n v="6153038.5714285718"/>
    <n v="8614254"/>
    <n v="7"/>
    <n v="43071270"/>
    <n v="60299778"/>
    <n v="17228508"/>
    <n v="0.4"/>
  </r>
  <r>
    <n v="147"/>
    <x v="136"/>
    <x v="4"/>
    <n v="12"/>
    <x v="4"/>
    <n v="467"/>
    <x v="2"/>
    <x v="2"/>
    <s v="F"/>
    <x v="4"/>
    <n v="78"/>
    <n v="6018170"/>
    <n v="8425438"/>
    <n v="1"/>
    <n v="6018170"/>
    <n v="8425438"/>
    <n v="2407268"/>
    <n v="0.4"/>
  </r>
  <r>
    <n v="148"/>
    <x v="137"/>
    <x v="3"/>
    <n v="2"/>
    <x v="1"/>
    <n v="438"/>
    <x v="17"/>
    <x v="1"/>
    <s v="E"/>
    <x v="3"/>
    <n v="97"/>
    <n v="6499453.5714285718"/>
    <n v="9099235"/>
    <n v="7"/>
    <n v="45496175"/>
    <n v="63694645"/>
    <n v="18198470"/>
    <n v="0.4"/>
  </r>
  <r>
    <n v="149"/>
    <x v="138"/>
    <x v="2"/>
    <n v="12"/>
    <x v="4"/>
    <n v="17"/>
    <x v="12"/>
    <x v="4"/>
    <s v="F"/>
    <x v="2"/>
    <n v="88"/>
    <n v="3671331.4285714286"/>
    <n v="5139864"/>
    <n v="5"/>
    <n v="18356657.142857142"/>
    <n v="25699320"/>
    <n v="7342662.8571428582"/>
    <n v="0.40000000000000008"/>
  </r>
  <r>
    <n v="150"/>
    <x v="139"/>
    <x v="2"/>
    <n v="7"/>
    <x v="7"/>
    <n v="415"/>
    <x v="15"/>
    <x v="0"/>
    <s v="F"/>
    <x v="3"/>
    <n v="60"/>
    <n v="4149768.5714285718"/>
    <n v="5809676"/>
    <n v="5"/>
    <n v="20748842.857142858"/>
    <n v="29048380"/>
    <n v="8299537.1428571418"/>
    <n v="0.39999999999999991"/>
  </r>
  <r>
    <n v="151"/>
    <x v="140"/>
    <x v="1"/>
    <n v="5"/>
    <x v="9"/>
    <n v="228"/>
    <x v="17"/>
    <x v="1"/>
    <s v="B"/>
    <x v="7"/>
    <n v="81"/>
    <n v="5438876.4285714291"/>
    <n v="7614427"/>
    <n v="2"/>
    <n v="10877752.857142858"/>
    <n v="15228854"/>
    <n v="4351101.1428571418"/>
    <n v="0.39999999999999986"/>
  </r>
  <r>
    <n v="152"/>
    <x v="141"/>
    <x v="1"/>
    <n v="4"/>
    <x v="2"/>
    <n v="90"/>
    <x v="18"/>
    <x v="2"/>
    <s v="E"/>
    <x v="2"/>
    <n v="100"/>
    <n v="1410838.5714285716"/>
    <n v="1975174"/>
    <n v="8"/>
    <n v="11286708.571428573"/>
    <n v="15801392"/>
    <n v="4514683.4285714272"/>
    <n v="0.39999999999999986"/>
  </r>
  <r>
    <n v="153"/>
    <x v="142"/>
    <x v="4"/>
    <n v="9"/>
    <x v="3"/>
    <n v="318"/>
    <x v="11"/>
    <x v="1"/>
    <s v="D"/>
    <x v="0"/>
    <n v="90"/>
    <n v="1826792.8571428573"/>
    <n v="2557510"/>
    <n v="8"/>
    <n v="14614342.857142858"/>
    <n v="20460080"/>
    <n v="5845737.1428571418"/>
    <n v="0.39999999999999991"/>
  </r>
  <r>
    <n v="154"/>
    <x v="143"/>
    <x v="1"/>
    <n v="6"/>
    <x v="0"/>
    <n v="302"/>
    <x v="9"/>
    <x v="0"/>
    <s v="A"/>
    <x v="0"/>
    <n v="79"/>
    <n v="3280822.1428571432"/>
    <n v="4593151"/>
    <n v="6"/>
    <n v="19684932.857142858"/>
    <n v="27558906"/>
    <n v="7873973.1428571418"/>
    <n v="0.39999999999999991"/>
  </r>
  <r>
    <n v="155"/>
    <x v="144"/>
    <x v="0"/>
    <n v="10"/>
    <x v="11"/>
    <n v="139"/>
    <x v="2"/>
    <x v="2"/>
    <s v="A"/>
    <x v="1"/>
    <n v="72"/>
    <n v="2885867.1428571432"/>
    <n v="4040214"/>
    <n v="9"/>
    <n v="25972804.285714287"/>
    <n v="36361926"/>
    <n v="10389121.714285713"/>
    <n v="0.39999999999999991"/>
  </r>
  <r>
    <n v="156"/>
    <x v="145"/>
    <x v="2"/>
    <n v="6"/>
    <x v="0"/>
    <n v="60"/>
    <x v="7"/>
    <x v="2"/>
    <s v="D"/>
    <x v="8"/>
    <n v="84"/>
    <n v="5209597.8571428573"/>
    <n v="7293437"/>
    <n v="7"/>
    <n v="36467185"/>
    <n v="51054059"/>
    <n v="14586874"/>
    <n v="0.4"/>
  </r>
  <r>
    <n v="157"/>
    <x v="146"/>
    <x v="0"/>
    <n v="2"/>
    <x v="1"/>
    <n v="172"/>
    <x v="12"/>
    <x v="4"/>
    <s v="D"/>
    <x v="8"/>
    <n v="75"/>
    <n v="5258383.5714285718"/>
    <n v="7361737"/>
    <n v="3"/>
    <n v="15775150.714285716"/>
    <n v="22085211"/>
    <n v="6310060.2857142836"/>
    <n v="0.3999999999999998"/>
  </r>
  <r>
    <n v="158"/>
    <x v="147"/>
    <x v="0"/>
    <n v="3"/>
    <x v="6"/>
    <n v="237"/>
    <x v="11"/>
    <x v="1"/>
    <s v="B"/>
    <x v="7"/>
    <n v="88"/>
    <n v="363550"/>
    <n v="508970"/>
    <n v="3"/>
    <n v="1090650"/>
    <n v="1526910"/>
    <n v="436260"/>
    <n v="0.4"/>
  </r>
  <r>
    <n v="159"/>
    <x v="148"/>
    <x v="3"/>
    <n v="1"/>
    <x v="5"/>
    <n v="365"/>
    <x v="17"/>
    <x v="1"/>
    <s v="A"/>
    <x v="1"/>
    <n v="66"/>
    <n v="881914.2857142858"/>
    <n v="1234680"/>
    <n v="5"/>
    <n v="4409571.4285714291"/>
    <n v="6173400"/>
    <n v="1763828.5714285709"/>
    <n v="0.39999999999999986"/>
  </r>
  <r>
    <n v="160"/>
    <x v="149"/>
    <x v="1"/>
    <n v="1"/>
    <x v="5"/>
    <n v="294"/>
    <x v="18"/>
    <x v="2"/>
    <s v="B"/>
    <x v="7"/>
    <n v="64"/>
    <n v="1159948.5714285716"/>
    <n v="1623928"/>
    <n v="1"/>
    <n v="1159948.5714285716"/>
    <n v="1623928"/>
    <n v="463979.42857142841"/>
    <n v="0.3999999999999998"/>
  </r>
  <r>
    <n v="161"/>
    <x v="150"/>
    <x v="4"/>
    <n v="3"/>
    <x v="6"/>
    <n v="290"/>
    <x v="2"/>
    <x v="2"/>
    <s v="C"/>
    <x v="2"/>
    <n v="65"/>
    <n v="6013032.8571428573"/>
    <n v="8418246"/>
    <n v="5"/>
    <n v="30065164.285714287"/>
    <n v="42091230"/>
    <n v="12026065.714285713"/>
    <n v="0.39999999999999991"/>
  </r>
  <r>
    <n v="162"/>
    <x v="151"/>
    <x v="2"/>
    <n v="9"/>
    <x v="3"/>
    <n v="400"/>
    <x v="8"/>
    <x v="3"/>
    <s v="E"/>
    <x v="3"/>
    <n v="85"/>
    <n v="2719452.1428571432"/>
    <n v="3807233"/>
    <n v="6"/>
    <n v="16316712.857142858"/>
    <n v="22843398"/>
    <n v="6526685.1428571418"/>
    <n v="0.39999999999999991"/>
  </r>
  <r>
    <n v="163"/>
    <x v="57"/>
    <x v="2"/>
    <n v="9"/>
    <x v="3"/>
    <n v="257"/>
    <x v="0"/>
    <x v="0"/>
    <s v="F"/>
    <x v="3"/>
    <n v="64"/>
    <n v="3538153.5714285718"/>
    <n v="4953415"/>
    <n v="10"/>
    <n v="35381535.714285716"/>
    <n v="49534150"/>
    <n v="14152614.285714284"/>
    <n v="0.39999999999999991"/>
  </r>
  <r>
    <n v="164"/>
    <x v="152"/>
    <x v="4"/>
    <n v="1"/>
    <x v="5"/>
    <n v="240"/>
    <x v="3"/>
    <x v="2"/>
    <s v="F"/>
    <x v="7"/>
    <n v="64"/>
    <n v="6105420.7142857146"/>
    <n v="8547589"/>
    <n v="3"/>
    <n v="18316262.142857142"/>
    <n v="25642767"/>
    <n v="7326504.8571428582"/>
    <n v="0.40000000000000008"/>
  </r>
  <r>
    <n v="165"/>
    <x v="153"/>
    <x v="0"/>
    <n v="5"/>
    <x v="9"/>
    <n v="234"/>
    <x v="10"/>
    <x v="1"/>
    <s v="E"/>
    <x v="7"/>
    <n v="76"/>
    <n v="1791990.7142857143"/>
    <n v="2508787"/>
    <n v="3"/>
    <n v="5375972.1428571427"/>
    <n v="7526361"/>
    <n v="2150388.8571428573"/>
    <n v="0.4"/>
  </r>
  <r>
    <n v="166"/>
    <x v="154"/>
    <x v="1"/>
    <n v="3"/>
    <x v="6"/>
    <n v="103"/>
    <x v="6"/>
    <x v="3"/>
    <s v="F"/>
    <x v="5"/>
    <n v="60"/>
    <n v="7034562.8571428573"/>
    <n v="9848388"/>
    <n v="1"/>
    <n v="7034562.8571428573"/>
    <n v="9848388"/>
    <n v="2813825.1428571427"/>
    <n v="0.39999999999999997"/>
  </r>
  <r>
    <n v="167"/>
    <x v="155"/>
    <x v="0"/>
    <n v="1"/>
    <x v="5"/>
    <n v="461"/>
    <x v="17"/>
    <x v="1"/>
    <s v="D"/>
    <x v="3"/>
    <n v="50"/>
    <n v="2947010"/>
    <n v="4125814"/>
    <n v="2"/>
    <n v="5894020"/>
    <n v="8251628"/>
    <n v="2357608"/>
    <n v="0.4"/>
  </r>
  <r>
    <n v="168"/>
    <x v="45"/>
    <x v="4"/>
    <n v="10"/>
    <x v="11"/>
    <n v="22"/>
    <x v="19"/>
    <x v="4"/>
    <s v="A"/>
    <x v="7"/>
    <n v="79"/>
    <n v="1748899.2857142859"/>
    <n v="2448459"/>
    <n v="8"/>
    <n v="13991194.285714287"/>
    <n v="19587672"/>
    <n v="5596477.7142857127"/>
    <n v="0.39999999999999986"/>
  </r>
  <r>
    <n v="169"/>
    <x v="156"/>
    <x v="4"/>
    <n v="12"/>
    <x v="4"/>
    <n v="158"/>
    <x v="4"/>
    <x v="3"/>
    <s v="E"/>
    <x v="7"/>
    <n v="60"/>
    <n v="3658687.1428571432"/>
    <n v="5122162"/>
    <n v="8"/>
    <n v="29269497.142857146"/>
    <n v="40977296"/>
    <n v="11707798.857142854"/>
    <n v="0.39999999999999986"/>
  </r>
  <r>
    <n v="170"/>
    <x v="157"/>
    <x v="3"/>
    <n v="2"/>
    <x v="1"/>
    <n v="350"/>
    <x v="4"/>
    <x v="3"/>
    <s v="E"/>
    <x v="0"/>
    <n v="80"/>
    <n v="4243611.4285714291"/>
    <n v="5941056"/>
    <n v="7"/>
    <n v="29705280.000000004"/>
    <n v="41587392"/>
    <n v="11882111.999999996"/>
    <n v="0.3999999999999998"/>
  </r>
  <r>
    <n v="171"/>
    <x v="158"/>
    <x v="3"/>
    <n v="1"/>
    <x v="5"/>
    <n v="371"/>
    <x v="14"/>
    <x v="4"/>
    <s v="C"/>
    <x v="3"/>
    <n v="67"/>
    <n v="5998907.1428571437"/>
    <n v="8398470"/>
    <n v="3"/>
    <n v="17996721.428571433"/>
    <n v="25195410"/>
    <n v="7198688.5714285672"/>
    <n v="0.39999999999999969"/>
  </r>
  <r>
    <n v="172"/>
    <x v="159"/>
    <x v="0"/>
    <n v="5"/>
    <x v="9"/>
    <n v="408"/>
    <x v="1"/>
    <x v="1"/>
    <s v="A"/>
    <x v="4"/>
    <n v="81"/>
    <n v="2832124.2857142859"/>
    <n v="3964974"/>
    <n v="2"/>
    <n v="5664248.5714285718"/>
    <n v="7929948"/>
    <n v="2265699.4285714282"/>
    <n v="0.39999999999999991"/>
  </r>
  <r>
    <n v="173"/>
    <x v="160"/>
    <x v="4"/>
    <n v="5"/>
    <x v="9"/>
    <n v="210"/>
    <x v="12"/>
    <x v="4"/>
    <s v="C"/>
    <x v="8"/>
    <n v="86"/>
    <n v="3963871.4285714286"/>
    <n v="5549420"/>
    <n v="6"/>
    <n v="23783228.571428571"/>
    <n v="33296520"/>
    <n v="9513291.4285714291"/>
    <n v="0.4"/>
  </r>
  <r>
    <n v="174"/>
    <x v="161"/>
    <x v="1"/>
    <n v="10"/>
    <x v="11"/>
    <n v="412"/>
    <x v="0"/>
    <x v="0"/>
    <s v="D"/>
    <x v="0"/>
    <n v="99"/>
    <n v="951081.42857142864"/>
    <n v="1331514"/>
    <n v="3"/>
    <n v="2853244.2857142859"/>
    <n v="3994542"/>
    <n v="1141297.7142857141"/>
    <n v="0.39999999999999991"/>
  </r>
  <r>
    <n v="175"/>
    <x v="162"/>
    <x v="4"/>
    <n v="9"/>
    <x v="3"/>
    <n v="281"/>
    <x v="1"/>
    <x v="1"/>
    <s v="C"/>
    <x v="3"/>
    <n v="86"/>
    <n v="6157812.8571428573"/>
    <n v="8620938"/>
    <n v="1"/>
    <n v="6157812.8571428573"/>
    <n v="8620938"/>
    <n v="2463125.1428571427"/>
    <n v="0.39999999999999997"/>
  </r>
  <r>
    <n v="176"/>
    <x v="163"/>
    <x v="0"/>
    <n v="5"/>
    <x v="9"/>
    <n v="398"/>
    <x v="12"/>
    <x v="4"/>
    <s v="A"/>
    <x v="8"/>
    <n v="69"/>
    <n v="4534100.7142857146"/>
    <n v="6347741"/>
    <n v="1"/>
    <n v="4534100.7142857146"/>
    <n v="6347741"/>
    <n v="1813640.2857142854"/>
    <n v="0.39999999999999991"/>
  </r>
  <r>
    <n v="177"/>
    <x v="163"/>
    <x v="0"/>
    <n v="5"/>
    <x v="9"/>
    <n v="463"/>
    <x v="8"/>
    <x v="3"/>
    <s v="E"/>
    <x v="2"/>
    <n v="79"/>
    <n v="2080923.5714285716"/>
    <n v="2913293"/>
    <n v="5"/>
    <n v="10404617.857142858"/>
    <n v="14566465"/>
    <n v="4161847.1428571418"/>
    <n v="0.39999999999999986"/>
  </r>
  <r>
    <n v="178"/>
    <x v="164"/>
    <x v="4"/>
    <n v="11"/>
    <x v="10"/>
    <n v="21"/>
    <x v="8"/>
    <x v="3"/>
    <s v="E"/>
    <x v="4"/>
    <n v="94"/>
    <n v="1446367.8571428573"/>
    <n v="2024915"/>
    <n v="9"/>
    <n v="13017310.714285716"/>
    <n v="18224235"/>
    <n v="5206924.2857142836"/>
    <n v="0.39999999999999974"/>
  </r>
  <r>
    <n v="179"/>
    <x v="165"/>
    <x v="1"/>
    <n v="3"/>
    <x v="6"/>
    <n v="66"/>
    <x v="12"/>
    <x v="4"/>
    <s v="D"/>
    <x v="0"/>
    <n v="64"/>
    <n v="5076275.7142857146"/>
    <n v="7106786"/>
    <n v="10"/>
    <n v="50762757.142857149"/>
    <n v="71067860"/>
    <n v="20305102.857142851"/>
    <n v="0.3999999999999998"/>
  </r>
  <r>
    <n v="180"/>
    <x v="166"/>
    <x v="2"/>
    <n v="9"/>
    <x v="3"/>
    <n v="380"/>
    <x v="13"/>
    <x v="3"/>
    <s v="A"/>
    <x v="1"/>
    <n v="79"/>
    <n v="1082529.2857142857"/>
    <n v="1515541"/>
    <n v="2"/>
    <n v="2165058.5714285714"/>
    <n v="3031082"/>
    <n v="866023.42857142864"/>
    <n v="0.4"/>
  </r>
  <r>
    <n v="181"/>
    <x v="22"/>
    <x v="0"/>
    <n v="8"/>
    <x v="8"/>
    <n v="433"/>
    <x v="15"/>
    <x v="0"/>
    <s v="E"/>
    <x v="4"/>
    <n v="98"/>
    <n v="1184735"/>
    <n v="1658629"/>
    <n v="5"/>
    <n v="5923675"/>
    <n v="8293145"/>
    <n v="2369470"/>
    <n v="0.4"/>
  </r>
  <r>
    <n v="182"/>
    <x v="167"/>
    <x v="4"/>
    <n v="1"/>
    <x v="5"/>
    <n v="390"/>
    <x v="17"/>
    <x v="1"/>
    <s v="B"/>
    <x v="0"/>
    <n v="62"/>
    <n v="5789060.7142857146"/>
    <n v="8104685"/>
    <n v="8"/>
    <n v="46312485.714285716"/>
    <n v="64837480"/>
    <n v="18524994.285714284"/>
    <n v="0.39999999999999991"/>
  </r>
  <r>
    <n v="183"/>
    <x v="168"/>
    <x v="4"/>
    <n v="8"/>
    <x v="8"/>
    <n v="130"/>
    <x v="1"/>
    <x v="1"/>
    <s v="A"/>
    <x v="8"/>
    <n v="79"/>
    <n v="2555328.5714285714"/>
    <n v="3577460"/>
    <n v="6"/>
    <n v="15331971.428571429"/>
    <n v="21464760"/>
    <n v="6132788.5714285709"/>
    <n v="0.39999999999999997"/>
  </r>
  <r>
    <n v="184"/>
    <x v="169"/>
    <x v="2"/>
    <n v="12"/>
    <x v="4"/>
    <n v="380"/>
    <x v="0"/>
    <x v="0"/>
    <s v="F"/>
    <x v="6"/>
    <n v="98"/>
    <n v="3817749.2857142859"/>
    <n v="5344849"/>
    <n v="9"/>
    <n v="34359743.571428575"/>
    <n v="48103641"/>
    <n v="13743897.428571425"/>
    <n v="0.39999999999999986"/>
  </r>
  <r>
    <n v="185"/>
    <x v="170"/>
    <x v="4"/>
    <n v="1"/>
    <x v="5"/>
    <n v="285"/>
    <x v="0"/>
    <x v="0"/>
    <s v="B"/>
    <x v="7"/>
    <n v="80"/>
    <n v="2812172.1428571432"/>
    <n v="3937041"/>
    <n v="4"/>
    <n v="11248688.571428573"/>
    <n v="15748164"/>
    <n v="4499475.4285714272"/>
    <n v="0.39999999999999986"/>
  </r>
  <r>
    <n v="186"/>
    <x v="171"/>
    <x v="0"/>
    <n v="1"/>
    <x v="5"/>
    <n v="54"/>
    <x v="6"/>
    <x v="3"/>
    <s v="C"/>
    <x v="0"/>
    <n v="71"/>
    <n v="5825468.5714285718"/>
    <n v="8155656"/>
    <n v="8"/>
    <n v="46603748.571428575"/>
    <n v="65245248"/>
    <n v="18641499.428571425"/>
    <n v="0.39999999999999991"/>
  </r>
  <r>
    <n v="187"/>
    <x v="172"/>
    <x v="0"/>
    <n v="8"/>
    <x v="8"/>
    <n v="193"/>
    <x v="17"/>
    <x v="1"/>
    <s v="E"/>
    <x v="2"/>
    <n v="60"/>
    <n v="2364363.5714285714"/>
    <n v="3310109"/>
    <n v="2"/>
    <n v="4728727.1428571427"/>
    <n v="6620218"/>
    <n v="1891490.8571428573"/>
    <n v="0.4"/>
  </r>
  <r>
    <n v="188"/>
    <x v="136"/>
    <x v="4"/>
    <n v="12"/>
    <x v="4"/>
    <n v="162"/>
    <x v="18"/>
    <x v="2"/>
    <s v="E"/>
    <x v="6"/>
    <n v="58"/>
    <n v="2721789.2857142859"/>
    <n v="3810505"/>
    <n v="6"/>
    <n v="16330735.714285716"/>
    <n v="22863030"/>
    <n v="6532294.2857142836"/>
    <n v="0.3999999999999998"/>
  </r>
  <r>
    <n v="189"/>
    <x v="173"/>
    <x v="2"/>
    <n v="6"/>
    <x v="0"/>
    <n v="28"/>
    <x v="7"/>
    <x v="2"/>
    <s v="B"/>
    <x v="8"/>
    <n v="52"/>
    <n v="773947.85714285716"/>
    <n v="1083527"/>
    <n v="6"/>
    <n v="4643687.1428571427"/>
    <n v="6501162"/>
    <n v="1857474.8571428573"/>
    <n v="0.4"/>
  </r>
  <r>
    <n v="190"/>
    <x v="5"/>
    <x v="0"/>
    <n v="9"/>
    <x v="3"/>
    <n v="466"/>
    <x v="4"/>
    <x v="3"/>
    <s v="C"/>
    <x v="0"/>
    <n v="72"/>
    <n v="4190297.1428571432"/>
    <n v="5866416"/>
    <n v="2"/>
    <n v="8380594.2857142864"/>
    <n v="11732832"/>
    <n v="3352237.7142857136"/>
    <n v="0.39999999999999991"/>
  </r>
  <r>
    <n v="191"/>
    <x v="174"/>
    <x v="0"/>
    <n v="3"/>
    <x v="6"/>
    <n v="122"/>
    <x v="6"/>
    <x v="3"/>
    <s v="C"/>
    <x v="8"/>
    <n v="91"/>
    <n v="5638918.5714285718"/>
    <n v="7894486"/>
    <n v="10"/>
    <n v="56389185.714285716"/>
    <n v="78944860"/>
    <n v="22555674.285714284"/>
    <n v="0.39999999999999997"/>
  </r>
  <r>
    <n v="192"/>
    <x v="13"/>
    <x v="0"/>
    <n v="1"/>
    <x v="5"/>
    <n v="245"/>
    <x v="7"/>
    <x v="2"/>
    <s v="A"/>
    <x v="8"/>
    <n v="87"/>
    <n v="547020"/>
    <n v="765828"/>
    <n v="10"/>
    <n v="5470200"/>
    <n v="7658280"/>
    <n v="2188080"/>
    <n v="0.4"/>
  </r>
  <r>
    <n v="193"/>
    <x v="157"/>
    <x v="3"/>
    <n v="2"/>
    <x v="1"/>
    <n v="50"/>
    <x v="17"/>
    <x v="1"/>
    <s v="B"/>
    <x v="8"/>
    <n v="84"/>
    <n v="5413655.7142857146"/>
    <n v="7579118"/>
    <n v="10"/>
    <n v="54136557.142857149"/>
    <n v="75791180"/>
    <n v="21654622.857142851"/>
    <n v="0.39999999999999986"/>
  </r>
  <r>
    <n v="194"/>
    <x v="59"/>
    <x v="2"/>
    <n v="12"/>
    <x v="4"/>
    <n v="316"/>
    <x v="18"/>
    <x v="2"/>
    <s v="C"/>
    <x v="7"/>
    <n v="76"/>
    <n v="3740563.5714285718"/>
    <n v="5236789"/>
    <n v="2"/>
    <n v="7481127.1428571437"/>
    <n v="10473578"/>
    <n v="2992450.8571428563"/>
    <n v="0.39999999999999986"/>
  </r>
  <r>
    <n v="195"/>
    <x v="175"/>
    <x v="2"/>
    <n v="5"/>
    <x v="9"/>
    <n v="367"/>
    <x v="14"/>
    <x v="4"/>
    <s v="E"/>
    <x v="6"/>
    <n v="100"/>
    <n v="6820814.2857142864"/>
    <n v="9549140"/>
    <n v="5"/>
    <n v="34104071.428571433"/>
    <n v="47745700"/>
    <n v="13641628.571428567"/>
    <n v="0.3999999999999998"/>
  </r>
  <r>
    <n v="196"/>
    <x v="176"/>
    <x v="4"/>
    <n v="6"/>
    <x v="0"/>
    <n v="205"/>
    <x v="17"/>
    <x v="1"/>
    <s v="A"/>
    <x v="2"/>
    <n v="64"/>
    <n v="5224769.2857142864"/>
    <n v="7314677"/>
    <n v="3"/>
    <n v="15674307.857142858"/>
    <n v="21944031"/>
    <n v="6269723.1428571418"/>
    <n v="0.39999999999999991"/>
  </r>
  <r>
    <n v="197"/>
    <x v="177"/>
    <x v="0"/>
    <n v="7"/>
    <x v="7"/>
    <n v="250"/>
    <x v="18"/>
    <x v="2"/>
    <s v="C"/>
    <x v="4"/>
    <n v="90"/>
    <n v="1546483.5714285716"/>
    <n v="2165077"/>
    <n v="1"/>
    <n v="1546483.5714285716"/>
    <n v="2165077"/>
    <n v="618593.42857142841"/>
    <n v="0.39999999999999986"/>
  </r>
  <r>
    <n v="198"/>
    <x v="178"/>
    <x v="2"/>
    <n v="9"/>
    <x v="3"/>
    <n v="346"/>
    <x v="7"/>
    <x v="2"/>
    <s v="E"/>
    <x v="6"/>
    <n v="59"/>
    <n v="730988.57142857148"/>
    <n v="1023384"/>
    <n v="6"/>
    <n v="4385931.4285714291"/>
    <n v="6140304"/>
    <n v="1754372.5714285709"/>
    <n v="0.39999999999999986"/>
  </r>
  <r>
    <n v="199"/>
    <x v="179"/>
    <x v="1"/>
    <n v="2"/>
    <x v="1"/>
    <n v="345"/>
    <x v="9"/>
    <x v="0"/>
    <s v="E"/>
    <x v="4"/>
    <n v="87"/>
    <n v="2414144.2857142859"/>
    <n v="3379802"/>
    <n v="7"/>
    <n v="16899010"/>
    <n v="23658614"/>
    <n v="6759604"/>
    <n v="0.4"/>
  </r>
  <r>
    <n v="200"/>
    <x v="180"/>
    <x v="0"/>
    <n v="11"/>
    <x v="10"/>
    <n v="259"/>
    <x v="11"/>
    <x v="1"/>
    <s v="D"/>
    <x v="2"/>
    <n v="59"/>
    <n v="1481044.2857142859"/>
    <n v="2073462"/>
    <n v="8"/>
    <n v="11848354.285714287"/>
    <n v="16587696"/>
    <n v="4739341.7142857127"/>
    <n v="0.3999999999999998"/>
  </r>
  <r>
    <n v="201"/>
    <x v="181"/>
    <x v="4"/>
    <n v="10"/>
    <x v="11"/>
    <n v="165"/>
    <x v="7"/>
    <x v="2"/>
    <s v="D"/>
    <x v="0"/>
    <n v="88"/>
    <n v="6945895"/>
    <n v="9724253"/>
    <n v="4"/>
    <n v="27783580"/>
    <n v="38897012"/>
    <n v="11113432"/>
    <n v="0.4"/>
  </r>
  <r>
    <n v="202"/>
    <x v="182"/>
    <x v="4"/>
    <n v="12"/>
    <x v="4"/>
    <n v="207"/>
    <x v="9"/>
    <x v="0"/>
    <s v="C"/>
    <x v="8"/>
    <n v="67"/>
    <n v="4697471.4285714291"/>
    <n v="6576460"/>
    <n v="10"/>
    <n v="46974714.285714291"/>
    <n v="65764600"/>
    <n v="18789885.714285709"/>
    <n v="0.39999999999999986"/>
  </r>
  <r>
    <n v="203"/>
    <x v="47"/>
    <x v="4"/>
    <n v="7"/>
    <x v="7"/>
    <n v="284"/>
    <x v="14"/>
    <x v="4"/>
    <s v="F"/>
    <x v="8"/>
    <n v="96"/>
    <n v="6757532.8571428573"/>
    <n v="9460546"/>
    <n v="9"/>
    <n v="60817795.714285716"/>
    <n v="85144914"/>
    <n v="24327118.285714284"/>
    <n v="0.39999999999999997"/>
  </r>
  <r>
    <n v="204"/>
    <x v="183"/>
    <x v="1"/>
    <n v="9"/>
    <x v="3"/>
    <n v="18"/>
    <x v="4"/>
    <x v="3"/>
    <s v="A"/>
    <x v="6"/>
    <n v="71"/>
    <n v="4943607.8571428573"/>
    <n v="6921051"/>
    <n v="5"/>
    <n v="24718039.285714287"/>
    <n v="34605255"/>
    <n v="9887215.7142857127"/>
    <n v="0.39999999999999991"/>
  </r>
  <r>
    <n v="205"/>
    <x v="184"/>
    <x v="4"/>
    <n v="11"/>
    <x v="10"/>
    <n v="454"/>
    <x v="2"/>
    <x v="2"/>
    <s v="B"/>
    <x v="8"/>
    <n v="62"/>
    <n v="4631026.4285714291"/>
    <n v="6483437"/>
    <n v="5"/>
    <n v="23155132.142857146"/>
    <n v="32417185"/>
    <n v="9262052.8571428545"/>
    <n v="0.39999999999999986"/>
  </r>
  <r>
    <n v="206"/>
    <x v="185"/>
    <x v="0"/>
    <n v="8"/>
    <x v="8"/>
    <n v="305"/>
    <x v="2"/>
    <x v="2"/>
    <s v="E"/>
    <x v="5"/>
    <n v="92"/>
    <n v="1947859.2857142859"/>
    <n v="2727003"/>
    <n v="10"/>
    <n v="19478592.857142858"/>
    <n v="27270030"/>
    <n v="7791437.1428571418"/>
    <n v="0.39999999999999991"/>
  </r>
  <r>
    <n v="207"/>
    <x v="186"/>
    <x v="0"/>
    <n v="11"/>
    <x v="10"/>
    <n v="390"/>
    <x v="16"/>
    <x v="4"/>
    <s v="B"/>
    <x v="8"/>
    <n v="89"/>
    <n v="3082213.5714285718"/>
    <n v="4315099"/>
    <n v="4"/>
    <n v="12328854.285714287"/>
    <n v="17260396"/>
    <n v="4931541.7142857127"/>
    <n v="0.3999999999999998"/>
  </r>
  <r>
    <n v="208"/>
    <x v="187"/>
    <x v="3"/>
    <n v="2"/>
    <x v="1"/>
    <n v="76"/>
    <x v="3"/>
    <x v="2"/>
    <s v="E"/>
    <x v="3"/>
    <n v="72"/>
    <n v="4298440.7142857146"/>
    <n v="6017817"/>
    <n v="3"/>
    <n v="12895322.142857144"/>
    <n v="18053451"/>
    <n v="5158128.8571428563"/>
    <n v="0.39999999999999991"/>
  </r>
  <r>
    <n v="209"/>
    <x v="188"/>
    <x v="1"/>
    <n v="10"/>
    <x v="11"/>
    <n v="451"/>
    <x v="18"/>
    <x v="2"/>
    <s v="F"/>
    <x v="6"/>
    <n v="60"/>
    <n v="2413942.1428571432"/>
    <n v="3379519"/>
    <n v="9"/>
    <n v="21725479.285714287"/>
    <n v="30415671"/>
    <n v="8690191.7142857127"/>
    <n v="0.39999999999999991"/>
  </r>
  <r>
    <n v="210"/>
    <x v="189"/>
    <x v="0"/>
    <n v="7"/>
    <x v="7"/>
    <n v="260"/>
    <x v="14"/>
    <x v="4"/>
    <s v="A"/>
    <x v="5"/>
    <n v="87"/>
    <n v="6401477.8571428573"/>
    <n v="8962069"/>
    <n v="9"/>
    <n v="57613300.714285716"/>
    <n v="80658621"/>
    <n v="23045320.285714284"/>
    <n v="0.39999999999999997"/>
  </r>
  <r>
    <n v="211"/>
    <x v="190"/>
    <x v="0"/>
    <n v="10"/>
    <x v="11"/>
    <n v="428"/>
    <x v="2"/>
    <x v="2"/>
    <s v="A"/>
    <x v="0"/>
    <n v="76"/>
    <n v="4552241.4285714291"/>
    <n v="6373138"/>
    <n v="2"/>
    <n v="9104482.8571428582"/>
    <n v="12746276"/>
    <n v="3641793.1428571418"/>
    <n v="0.39999999999999986"/>
  </r>
  <r>
    <n v="212"/>
    <x v="191"/>
    <x v="2"/>
    <n v="9"/>
    <x v="3"/>
    <n v="450"/>
    <x v="19"/>
    <x v="4"/>
    <s v="D"/>
    <x v="6"/>
    <n v="56"/>
    <n v="1769273.5714285716"/>
    <n v="2476983"/>
    <n v="10"/>
    <n v="17692735.714285716"/>
    <n v="24769830"/>
    <n v="7077094.2857142836"/>
    <n v="0.39999999999999986"/>
  </r>
  <r>
    <n v="213"/>
    <x v="192"/>
    <x v="2"/>
    <n v="11"/>
    <x v="10"/>
    <n v="496"/>
    <x v="1"/>
    <x v="1"/>
    <s v="D"/>
    <x v="4"/>
    <n v="55"/>
    <n v="4510717.8571428573"/>
    <n v="6315005"/>
    <n v="5"/>
    <n v="22553589.285714287"/>
    <n v="31575025"/>
    <n v="9021435.7142857127"/>
    <n v="0.39999999999999991"/>
  </r>
  <r>
    <n v="214"/>
    <x v="193"/>
    <x v="2"/>
    <n v="7"/>
    <x v="7"/>
    <n v="174"/>
    <x v="2"/>
    <x v="2"/>
    <s v="F"/>
    <x v="3"/>
    <n v="92"/>
    <n v="4894943.5714285718"/>
    <n v="6852921"/>
    <n v="2"/>
    <n v="9789887.1428571437"/>
    <n v="13705842"/>
    <n v="3915954.8571428563"/>
    <n v="0.39999999999999991"/>
  </r>
  <r>
    <n v="215"/>
    <x v="194"/>
    <x v="0"/>
    <n v="1"/>
    <x v="5"/>
    <n v="64"/>
    <x v="12"/>
    <x v="4"/>
    <s v="C"/>
    <x v="1"/>
    <n v="87"/>
    <n v="4145587.1428571432"/>
    <n v="5803822"/>
    <n v="2"/>
    <n v="8291174.2857142864"/>
    <n v="11607644"/>
    <n v="3316469.7142857136"/>
    <n v="0.39999999999999991"/>
  </r>
  <r>
    <n v="216"/>
    <x v="195"/>
    <x v="1"/>
    <n v="2"/>
    <x v="1"/>
    <n v="486"/>
    <x v="4"/>
    <x v="3"/>
    <s v="A"/>
    <x v="4"/>
    <n v="68"/>
    <n v="4132402.1428571432"/>
    <n v="5785363"/>
    <n v="10"/>
    <n v="41324021.428571433"/>
    <n v="57853630"/>
    <n v="16529608.571428567"/>
    <n v="0.39999999999999986"/>
  </r>
  <r>
    <n v="217"/>
    <x v="125"/>
    <x v="2"/>
    <n v="12"/>
    <x v="4"/>
    <n v="179"/>
    <x v="13"/>
    <x v="3"/>
    <s v="F"/>
    <x v="5"/>
    <n v="85"/>
    <n v="1061697.142857143"/>
    <n v="1486376"/>
    <n v="2"/>
    <n v="2123394.2857142859"/>
    <n v="2972752"/>
    <n v="849357.71428571409"/>
    <n v="0.39999999999999986"/>
  </r>
  <r>
    <n v="218"/>
    <x v="196"/>
    <x v="4"/>
    <n v="4"/>
    <x v="2"/>
    <n v="222"/>
    <x v="1"/>
    <x v="1"/>
    <s v="F"/>
    <x v="6"/>
    <n v="97"/>
    <n v="2412526.4285714286"/>
    <n v="3377537"/>
    <n v="8"/>
    <n v="19300211.428571429"/>
    <n v="27020296"/>
    <n v="7720084.5714285709"/>
    <n v="0.39999999999999997"/>
  </r>
  <r>
    <n v="219"/>
    <x v="197"/>
    <x v="2"/>
    <n v="7"/>
    <x v="7"/>
    <n v="495"/>
    <x v="8"/>
    <x v="3"/>
    <s v="D"/>
    <x v="6"/>
    <n v="79"/>
    <n v="3329430.7142857146"/>
    <n v="4661203"/>
    <n v="3"/>
    <n v="9988292.1428571437"/>
    <n v="13983609"/>
    <n v="3995316.8571428563"/>
    <n v="0.39999999999999991"/>
  </r>
  <r>
    <n v="220"/>
    <x v="198"/>
    <x v="2"/>
    <n v="12"/>
    <x v="4"/>
    <n v="84"/>
    <x v="10"/>
    <x v="1"/>
    <s v="B"/>
    <x v="7"/>
    <n v="59"/>
    <n v="2531737.8571428573"/>
    <n v="3544433"/>
    <n v="7"/>
    <n v="17722165"/>
    <n v="24811031"/>
    <n v="7088866"/>
    <n v="0.4"/>
  </r>
  <r>
    <n v="221"/>
    <x v="199"/>
    <x v="0"/>
    <n v="11"/>
    <x v="10"/>
    <n v="465"/>
    <x v="3"/>
    <x v="2"/>
    <s v="F"/>
    <x v="0"/>
    <n v="60"/>
    <n v="3137065"/>
    <n v="4391891"/>
    <n v="2"/>
    <n v="6274130"/>
    <n v="8783782"/>
    <n v="2509652"/>
    <n v="0.4"/>
  </r>
  <r>
    <n v="222"/>
    <x v="200"/>
    <x v="1"/>
    <n v="11"/>
    <x v="10"/>
    <n v="494"/>
    <x v="8"/>
    <x v="3"/>
    <s v="D"/>
    <x v="6"/>
    <n v="98"/>
    <n v="1581605.7142857143"/>
    <n v="2214248"/>
    <n v="3"/>
    <n v="4744817.1428571427"/>
    <n v="6642744"/>
    <n v="1897926.8571428573"/>
    <n v="0.4"/>
  </r>
  <r>
    <n v="223"/>
    <x v="201"/>
    <x v="2"/>
    <n v="10"/>
    <x v="11"/>
    <n v="160"/>
    <x v="8"/>
    <x v="3"/>
    <s v="B"/>
    <x v="7"/>
    <n v="82"/>
    <n v="1435122.8571428573"/>
    <n v="2009172"/>
    <n v="5"/>
    <n v="7175614.2857142864"/>
    <n v="10045860"/>
    <n v="2870245.7142857136"/>
    <n v="0.39999999999999986"/>
  </r>
  <r>
    <n v="224"/>
    <x v="202"/>
    <x v="0"/>
    <n v="6"/>
    <x v="0"/>
    <n v="251"/>
    <x v="0"/>
    <x v="0"/>
    <s v="A"/>
    <x v="1"/>
    <n v="95"/>
    <n v="3653464.2857142859"/>
    <n v="5114850"/>
    <n v="7"/>
    <n v="25574250"/>
    <n v="35803950"/>
    <n v="10229700"/>
    <n v="0.4"/>
  </r>
  <r>
    <n v="225"/>
    <x v="203"/>
    <x v="1"/>
    <n v="8"/>
    <x v="8"/>
    <n v="78"/>
    <x v="18"/>
    <x v="2"/>
    <s v="A"/>
    <x v="2"/>
    <n v="83"/>
    <n v="2750307.8571428573"/>
    <n v="3850431"/>
    <n v="6"/>
    <n v="16501847.142857144"/>
    <n v="23102586"/>
    <n v="6600738.8571428563"/>
    <n v="0.39999999999999991"/>
  </r>
  <r>
    <n v="226"/>
    <x v="204"/>
    <x v="4"/>
    <n v="6"/>
    <x v="0"/>
    <n v="150"/>
    <x v="2"/>
    <x v="2"/>
    <s v="B"/>
    <x v="2"/>
    <n v="91"/>
    <n v="1230404.2857142857"/>
    <n v="1722566"/>
    <n v="3"/>
    <n v="3691212.8571428573"/>
    <n v="5167698"/>
    <n v="1476485.1428571427"/>
    <n v="0.39999999999999997"/>
  </r>
  <r>
    <n v="227"/>
    <x v="205"/>
    <x v="1"/>
    <n v="4"/>
    <x v="2"/>
    <n v="262"/>
    <x v="8"/>
    <x v="3"/>
    <s v="F"/>
    <x v="6"/>
    <n v="68"/>
    <n v="2986361.4285714286"/>
    <n v="4180906"/>
    <n v="1"/>
    <n v="2986361.4285714286"/>
    <n v="4180906"/>
    <n v="1194544.5714285714"/>
    <n v="0.39999999999999997"/>
  </r>
  <r>
    <n v="228"/>
    <x v="206"/>
    <x v="0"/>
    <n v="9"/>
    <x v="3"/>
    <n v="241"/>
    <x v="15"/>
    <x v="0"/>
    <s v="C"/>
    <x v="2"/>
    <n v="52"/>
    <n v="1120985"/>
    <n v="1569379"/>
    <n v="6"/>
    <n v="6725910"/>
    <n v="9416274"/>
    <n v="2690364"/>
    <n v="0.4"/>
  </r>
  <r>
    <n v="229"/>
    <x v="207"/>
    <x v="1"/>
    <n v="12"/>
    <x v="4"/>
    <n v="126"/>
    <x v="14"/>
    <x v="4"/>
    <s v="A"/>
    <x v="6"/>
    <n v="69"/>
    <n v="6098362.1428571437"/>
    <n v="8537707"/>
    <n v="7"/>
    <n v="42688535.000000007"/>
    <n v="59763949"/>
    <n v="17075413.999999993"/>
    <n v="0.39999999999999974"/>
  </r>
  <r>
    <n v="230"/>
    <x v="208"/>
    <x v="2"/>
    <n v="5"/>
    <x v="9"/>
    <n v="109"/>
    <x v="18"/>
    <x v="2"/>
    <s v="A"/>
    <x v="7"/>
    <n v="100"/>
    <n v="3197678.5714285718"/>
    <n v="4476750"/>
    <n v="2"/>
    <n v="6395357.1428571437"/>
    <n v="8953500"/>
    <n v="2558142.8571428563"/>
    <n v="0.3999999999999998"/>
  </r>
  <r>
    <n v="231"/>
    <x v="209"/>
    <x v="0"/>
    <n v="7"/>
    <x v="7"/>
    <n v="470"/>
    <x v="4"/>
    <x v="3"/>
    <s v="D"/>
    <x v="0"/>
    <n v="54"/>
    <n v="5204388.5714285718"/>
    <n v="7286144"/>
    <n v="5"/>
    <n v="26021942.857142858"/>
    <n v="36430720"/>
    <n v="10408777.142857142"/>
    <n v="0.39999999999999997"/>
  </r>
  <r>
    <n v="232"/>
    <x v="210"/>
    <x v="4"/>
    <n v="2"/>
    <x v="1"/>
    <n v="431"/>
    <x v="0"/>
    <x v="0"/>
    <s v="A"/>
    <x v="5"/>
    <n v="88"/>
    <n v="1314581.4285714286"/>
    <n v="1840414"/>
    <n v="2"/>
    <n v="2629162.8571428573"/>
    <n v="3680828"/>
    <n v="1051665.1428571427"/>
    <n v="0.39999999999999991"/>
  </r>
  <r>
    <n v="233"/>
    <x v="211"/>
    <x v="2"/>
    <n v="9"/>
    <x v="3"/>
    <n v="329"/>
    <x v="8"/>
    <x v="3"/>
    <s v="B"/>
    <x v="0"/>
    <n v="61"/>
    <n v="2119262.1428571432"/>
    <n v="2966967"/>
    <n v="9"/>
    <n v="19073359.285714287"/>
    <n v="26702703"/>
    <n v="7629343.7142857127"/>
    <n v="0.39999999999999986"/>
  </r>
  <r>
    <n v="234"/>
    <x v="212"/>
    <x v="0"/>
    <n v="4"/>
    <x v="2"/>
    <n v="180"/>
    <x v="4"/>
    <x v="3"/>
    <s v="A"/>
    <x v="4"/>
    <n v="86"/>
    <n v="3935176.4285714286"/>
    <n v="5509247"/>
    <n v="2"/>
    <n v="7870352.8571428573"/>
    <n v="11018494"/>
    <n v="3148141.1428571427"/>
    <n v="0.39999999999999997"/>
  </r>
  <r>
    <n v="235"/>
    <x v="213"/>
    <x v="1"/>
    <n v="7"/>
    <x v="7"/>
    <n v="126"/>
    <x v="0"/>
    <x v="0"/>
    <s v="C"/>
    <x v="6"/>
    <n v="74"/>
    <n v="4800015"/>
    <n v="6720021"/>
    <n v="2"/>
    <n v="9600030"/>
    <n v="13440042"/>
    <n v="3840012"/>
    <n v="0.4"/>
  </r>
  <r>
    <n v="236"/>
    <x v="214"/>
    <x v="4"/>
    <n v="9"/>
    <x v="3"/>
    <n v="96"/>
    <x v="1"/>
    <x v="1"/>
    <s v="C"/>
    <x v="3"/>
    <n v="79"/>
    <n v="5594392.1428571437"/>
    <n v="7832149"/>
    <n v="8"/>
    <n v="44755137.142857149"/>
    <n v="62657192"/>
    <n v="17902054.857142851"/>
    <n v="0.3999999999999998"/>
  </r>
  <r>
    <n v="237"/>
    <x v="215"/>
    <x v="4"/>
    <n v="8"/>
    <x v="8"/>
    <n v="357"/>
    <x v="2"/>
    <x v="2"/>
    <s v="B"/>
    <x v="0"/>
    <n v="83"/>
    <n v="7013047.1428571437"/>
    <n v="9818266"/>
    <n v="10"/>
    <n v="70130471.428571433"/>
    <n v="98182660"/>
    <n v="28052188.571428567"/>
    <n v="0.39999999999999991"/>
  </r>
  <r>
    <n v="238"/>
    <x v="76"/>
    <x v="0"/>
    <n v="1"/>
    <x v="5"/>
    <n v="30"/>
    <x v="8"/>
    <x v="3"/>
    <s v="E"/>
    <x v="6"/>
    <n v="97"/>
    <n v="1504619.2857142859"/>
    <n v="2106467"/>
    <n v="3"/>
    <n v="4513857.8571428582"/>
    <n v="6319401"/>
    <n v="1805543.1428571418"/>
    <n v="0.39999999999999969"/>
  </r>
  <r>
    <n v="239"/>
    <x v="216"/>
    <x v="2"/>
    <n v="10"/>
    <x v="11"/>
    <n v="388"/>
    <x v="18"/>
    <x v="2"/>
    <s v="B"/>
    <x v="3"/>
    <n v="69"/>
    <n v="7109447.1428571437"/>
    <n v="9953226"/>
    <n v="4"/>
    <n v="28437788.571428575"/>
    <n v="39812904"/>
    <n v="11375115.428571425"/>
    <n v="0.39999999999999986"/>
  </r>
  <r>
    <n v="240"/>
    <x v="217"/>
    <x v="4"/>
    <n v="2"/>
    <x v="1"/>
    <n v="409"/>
    <x v="15"/>
    <x v="0"/>
    <s v="A"/>
    <x v="3"/>
    <n v="63"/>
    <n v="3969077.8571428573"/>
    <n v="5556709"/>
    <n v="6"/>
    <n v="23814467.142857142"/>
    <n v="33340254"/>
    <n v="9525786.8571428582"/>
    <n v="0.40000000000000008"/>
  </r>
  <r>
    <n v="241"/>
    <x v="149"/>
    <x v="1"/>
    <n v="1"/>
    <x v="5"/>
    <n v="398"/>
    <x v="5"/>
    <x v="0"/>
    <s v="F"/>
    <x v="5"/>
    <n v="98"/>
    <n v="3416886.4285714286"/>
    <n v="4783641"/>
    <n v="3"/>
    <n v="10250659.285714285"/>
    <n v="14350923"/>
    <n v="4100263.7142857146"/>
    <n v="0.4"/>
  </r>
  <r>
    <n v="242"/>
    <x v="218"/>
    <x v="1"/>
    <n v="7"/>
    <x v="7"/>
    <n v="226"/>
    <x v="4"/>
    <x v="3"/>
    <s v="C"/>
    <x v="7"/>
    <n v="55"/>
    <n v="5191959.2857142864"/>
    <n v="7268743"/>
    <n v="2"/>
    <n v="10383918.571428573"/>
    <n v="14537486"/>
    <n v="4153567.4285714272"/>
    <n v="0.3999999999999998"/>
  </r>
  <r>
    <n v="243"/>
    <x v="67"/>
    <x v="3"/>
    <n v="1"/>
    <x v="5"/>
    <n v="81"/>
    <x v="12"/>
    <x v="4"/>
    <s v="B"/>
    <x v="8"/>
    <n v="87"/>
    <n v="5353563.5714285718"/>
    <n v="7494989"/>
    <n v="6"/>
    <n v="32121381.428571433"/>
    <n v="44969934"/>
    <n v="12848552.571428567"/>
    <n v="0.3999999999999998"/>
  </r>
  <r>
    <n v="244"/>
    <x v="11"/>
    <x v="1"/>
    <n v="2"/>
    <x v="1"/>
    <n v="7"/>
    <x v="4"/>
    <x v="3"/>
    <s v="D"/>
    <x v="6"/>
    <n v="64"/>
    <n v="4016253.5714285718"/>
    <n v="5622755"/>
    <n v="3"/>
    <n v="12048760.714285716"/>
    <n v="16868265"/>
    <n v="4819504.2857142836"/>
    <n v="0.39999999999999974"/>
  </r>
  <r>
    <n v="245"/>
    <x v="217"/>
    <x v="4"/>
    <n v="2"/>
    <x v="1"/>
    <n v="125"/>
    <x v="8"/>
    <x v="3"/>
    <s v="E"/>
    <x v="1"/>
    <n v="78"/>
    <n v="2934805"/>
    <n v="4108727"/>
    <n v="8"/>
    <n v="23478440"/>
    <n v="32869816"/>
    <n v="9391376"/>
    <n v="0.4"/>
  </r>
  <r>
    <n v="246"/>
    <x v="128"/>
    <x v="1"/>
    <n v="5"/>
    <x v="9"/>
    <n v="443"/>
    <x v="0"/>
    <x v="0"/>
    <s v="A"/>
    <x v="2"/>
    <n v="51"/>
    <n v="2807110.7142857146"/>
    <n v="3929955"/>
    <n v="4"/>
    <n v="11228442.857142858"/>
    <n v="15719820"/>
    <n v="4491377.1428571418"/>
    <n v="0.39999999999999986"/>
  </r>
  <r>
    <n v="247"/>
    <x v="219"/>
    <x v="2"/>
    <n v="7"/>
    <x v="7"/>
    <n v="154"/>
    <x v="9"/>
    <x v="0"/>
    <s v="F"/>
    <x v="2"/>
    <n v="56"/>
    <n v="4237090.7142857146"/>
    <n v="5931927"/>
    <n v="10"/>
    <n v="42370907.142857149"/>
    <n v="59319270"/>
    <n v="16948362.857142851"/>
    <n v="0.3999999999999998"/>
  </r>
  <r>
    <n v="248"/>
    <x v="220"/>
    <x v="1"/>
    <n v="6"/>
    <x v="0"/>
    <n v="359"/>
    <x v="12"/>
    <x v="4"/>
    <s v="C"/>
    <x v="5"/>
    <n v="55"/>
    <n v="4391907.8571428573"/>
    <n v="6148671"/>
    <n v="2"/>
    <n v="8783815.7142857146"/>
    <n v="12297342"/>
    <n v="3513526.2857142854"/>
    <n v="0.39999999999999997"/>
  </r>
  <r>
    <n v="249"/>
    <x v="221"/>
    <x v="3"/>
    <n v="2"/>
    <x v="1"/>
    <n v="169"/>
    <x v="14"/>
    <x v="4"/>
    <s v="E"/>
    <x v="0"/>
    <n v="93"/>
    <n v="6516560.7142857146"/>
    <n v="9123185"/>
    <n v="6"/>
    <n v="39099364.285714284"/>
    <n v="54739110"/>
    <n v="15639745.714285716"/>
    <n v="0.40000000000000008"/>
  </r>
  <r>
    <n v="250"/>
    <x v="222"/>
    <x v="1"/>
    <n v="9"/>
    <x v="3"/>
    <n v="228"/>
    <x v="6"/>
    <x v="3"/>
    <s v="C"/>
    <x v="2"/>
    <n v="80"/>
    <n v="6044840"/>
    <n v="8462776"/>
    <n v="10"/>
    <n v="60448400"/>
    <n v="84627760"/>
    <n v="24179360"/>
    <n v="0.4"/>
  </r>
  <r>
    <n v="251"/>
    <x v="223"/>
    <x v="1"/>
    <n v="4"/>
    <x v="2"/>
    <n v="30"/>
    <x v="5"/>
    <x v="0"/>
    <s v="D"/>
    <x v="7"/>
    <n v="77"/>
    <n v="4406706.4285714291"/>
    <n v="6169389"/>
    <n v="4"/>
    <n v="17626825.714285716"/>
    <n v="24677556"/>
    <n v="7050730.2857142836"/>
    <n v="0.39999999999999986"/>
  </r>
  <r>
    <n v="252"/>
    <x v="224"/>
    <x v="2"/>
    <n v="7"/>
    <x v="7"/>
    <n v="244"/>
    <x v="14"/>
    <x v="4"/>
    <s v="F"/>
    <x v="6"/>
    <n v="98"/>
    <n v="6087999.2857142864"/>
    <n v="8523199"/>
    <n v="3"/>
    <n v="18263997.857142858"/>
    <n v="25569597"/>
    <n v="7305599.1428571418"/>
    <n v="0.39999999999999991"/>
  </r>
  <r>
    <n v="253"/>
    <x v="225"/>
    <x v="3"/>
    <n v="3"/>
    <x v="6"/>
    <n v="162"/>
    <x v="9"/>
    <x v="0"/>
    <s v="C"/>
    <x v="2"/>
    <n v="90"/>
    <n v="4976814.2857142864"/>
    <n v="6967540"/>
    <n v="1"/>
    <n v="4976814.2857142864"/>
    <n v="6967540"/>
    <n v="1990725.7142857136"/>
    <n v="0.3999999999999998"/>
  </r>
  <r>
    <n v="254"/>
    <x v="226"/>
    <x v="4"/>
    <n v="11"/>
    <x v="10"/>
    <n v="299"/>
    <x v="0"/>
    <x v="0"/>
    <s v="A"/>
    <x v="4"/>
    <n v="98"/>
    <n v="1749535"/>
    <n v="2449349"/>
    <n v="8"/>
    <n v="13996280"/>
    <n v="19594792"/>
    <n v="5598512"/>
    <n v="0.4"/>
  </r>
  <r>
    <n v="255"/>
    <x v="227"/>
    <x v="4"/>
    <n v="9"/>
    <x v="3"/>
    <n v="274"/>
    <x v="7"/>
    <x v="2"/>
    <s v="F"/>
    <x v="1"/>
    <n v="81"/>
    <n v="5340700"/>
    <n v="7476980"/>
    <n v="1"/>
    <n v="5340700"/>
    <n v="7476980"/>
    <n v="2136280"/>
    <n v="0.4"/>
  </r>
  <r>
    <n v="256"/>
    <x v="228"/>
    <x v="0"/>
    <n v="7"/>
    <x v="7"/>
    <n v="154"/>
    <x v="5"/>
    <x v="0"/>
    <s v="D"/>
    <x v="4"/>
    <n v="83"/>
    <n v="1915301.4285714286"/>
    <n v="2681422"/>
    <n v="7"/>
    <n v="13407110"/>
    <n v="18769954"/>
    <n v="5362844"/>
    <n v="0.4"/>
  </r>
  <r>
    <n v="257"/>
    <x v="229"/>
    <x v="3"/>
    <n v="2"/>
    <x v="1"/>
    <n v="339"/>
    <x v="9"/>
    <x v="0"/>
    <s v="E"/>
    <x v="7"/>
    <n v="81"/>
    <n v="6036735"/>
    <n v="8451429"/>
    <n v="2"/>
    <n v="12073470"/>
    <n v="16902858"/>
    <n v="4829388"/>
    <n v="0.4"/>
  </r>
  <r>
    <n v="258"/>
    <x v="230"/>
    <x v="2"/>
    <n v="10"/>
    <x v="11"/>
    <n v="119"/>
    <x v="13"/>
    <x v="3"/>
    <s v="C"/>
    <x v="5"/>
    <n v="66"/>
    <n v="973943.57142857148"/>
    <n v="1363521"/>
    <n v="8"/>
    <n v="7791548.5714285718"/>
    <n v="10908168"/>
    <n v="3116619.4285714282"/>
    <n v="0.39999999999999991"/>
  </r>
  <r>
    <n v="259"/>
    <x v="169"/>
    <x v="2"/>
    <n v="12"/>
    <x v="4"/>
    <n v="375"/>
    <x v="19"/>
    <x v="4"/>
    <s v="D"/>
    <x v="7"/>
    <n v="62"/>
    <n v="1549665"/>
    <n v="2169531"/>
    <n v="1"/>
    <n v="1549665"/>
    <n v="2169531"/>
    <n v="619866"/>
    <n v="0.4"/>
  </r>
  <r>
    <n v="260"/>
    <x v="231"/>
    <x v="1"/>
    <n v="11"/>
    <x v="10"/>
    <n v="389"/>
    <x v="6"/>
    <x v="3"/>
    <s v="A"/>
    <x v="4"/>
    <n v="59"/>
    <n v="6217214.2857142864"/>
    <n v="8704100"/>
    <n v="7"/>
    <n v="43520500.000000007"/>
    <n v="60928700"/>
    <n v="17408199.999999993"/>
    <n v="0.39999999999999974"/>
  </r>
  <r>
    <n v="261"/>
    <x v="78"/>
    <x v="4"/>
    <n v="2"/>
    <x v="1"/>
    <n v="147"/>
    <x v="7"/>
    <x v="2"/>
    <s v="F"/>
    <x v="3"/>
    <n v="63"/>
    <n v="1419773.5714285716"/>
    <n v="1987683"/>
    <n v="1"/>
    <n v="1419773.5714285716"/>
    <n v="1987683"/>
    <n v="567909.42857142841"/>
    <n v="0.39999999999999986"/>
  </r>
  <r>
    <n v="262"/>
    <x v="72"/>
    <x v="2"/>
    <n v="8"/>
    <x v="8"/>
    <n v="60"/>
    <x v="0"/>
    <x v="0"/>
    <s v="B"/>
    <x v="4"/>
    <n v="95"/>
    <n v="4924561.4285714291"/>
    <n v="6894386"/>
    <n v="1"/>
    <n v="4924561.4285714291"/>
    <n v="6894386"/>
    <n v="1969824.5714285709"/>
    <n v="0.39999999999999986"/>
  </r>
  <r>
    <n v="263"/>
    <x v="48"/>
    <x v="3"/>
    <n v="2"/>
    <x v="1"/>
    <n v="287"/>
    <x v="12"/>
    <x v="4"/>
    <s v="F"/>
    <x v="1"/>
    <n v="93"/>
    <n v="4660165.7142857146"/>
    <n v="6524232"/>
    <n v="3"/>
    <n v="13980497.142857144"/>
    <n v="19572696"/>
    <n v="5592198.8571428563"/>
    <n v="0.39999999999999991"/>
  </r>
  <r>
    <n v="264"/>
    <x v="232"/>
    <x v="2"/>
    <n v="6"/>
    <x v="0"/>
    <n v="357"/>
    <x v="2"/>
    <x v="2"/>
    <s v="F"/>
    <x v="8"/>
    <n v="94"/>
    <n v="5975592.8571428573"/>
    <n v="8365830"/>
    <n v="5"/>
    <n v="29877964.285714287"/>
    <n v="41829150"/>
    <n v="11951185.714285713"/>
    <n v="0.39999999999999991"/>
  </r>
  <r>
    <n v="265"/>
    <x v="233"/>
    <x v="2"/>
    <n v="10"/>
    <x v="11"/>
    <n v="392"/>
    <x v="18"/>
    <x v="2"/>
    <s v="B"/>
    <x v="6"/>
    <n v="50"/>
    <n v="6721911.4285714291"/>
    <n v="9410676"/>
    <n v="10"/>
    <n v="67219114.285714298"/>
    <n v="94106760"/>
    <n v="26887645.714285702"/>
    <n v="0.39999999999999974"/>
  </r>
  <r>
    <n v="266"/>
    <x v="234"/>
    <x v="4"/>
    <n v="3"/>
    <x v="6"/>
    <n v="355"/>
    <x v="1"/>
    <x v="1"/>
    <s v="E"/>
    <x v="3"/>
    <n v="76"/>
    <n v="4052648.5714285718"/>
    <n v="5673708"/>
    <n v="2"/>
    <n v="8105297.1428571437"/>
    <n v="11347416"/>
    <n v="3242118.8571428563"/>
    <n v="0.39999999999999986"/>
  </r>
  <r>
    <n v="267"/>
    <x v="235"/>
    <x v="1"/>
    <n v="6"/>
    <x v="0"/>
    <n v="62"/>
    <x v="0"/>
    <x v="0"/>
    <s v="E"/>
    <x v="1"/>
    <n v="92"/>
    <n v="6385193.5714285718"/>
    <n v="8939271"/>
    <n v="10"/>
    <n v="63851935.714285716"/>
    <n v="89392710"/>
    <n v="25540774.285714284"/>
    <n v="0.39999999999999997"/>
  </r>
  <r>
    <n v="268"/>
    <x v="236"/>
    <x v="0"/>
    <n v="5"/>
    <x v="9"/>
    <n v="361"/>
    <x v="13"/>
    <x v="3"/>
    <s v="A"/>
    <x v="2"/>
    <n v="73"/>
    <n v="946913.57142857148"/>
    <n v="1325679"/>
    <n v="4"/>
    <n v="3787654.2857142859"/>
    <n v="5302716"/>
    <n v="1515061.7142857141"/>
    <n v="0.39999999999999991"/>
  </r>
  <r>
    <n v="269"/>
    <x v="237"/>
    <x v="4"/>
    <n v="2"/>
    <x v="1"/>
    <n v="81"/>
    <x v="2"/>
    <x v="2"/>
    <s v="A"/>
    <x v="4"/>
    <n v="63"/>
    <n v="6375405"/>
    <n v="8925567"/>
    <n v="7"/>
    <n v="44627835"/>
    <n v="62478969"/>
    <n v="17851134"/>
    <n v="0.4"/>
  </r>
  <r>
    <n v="270"/>
    <x v="238"/>
    <x v="2"/>
    <n v="8"/>
    <x v="8"/>
    <n v="404"/>
    <x v="10"/>
    <x v="1"/>
    <s v="E"/>
    <x v="5"/>
    <n v="99"/>
    <n v="248402.85714285716"/>
    <n v="347764"/>
    <n v="1"/>
    <n v="248402.85714285716"/>
    <n v="347764"/>
    <n v="99361.142857142841"/>
    <n v="0.39999999999999991"/>
  </r>
  <r>
    <n v="271"/>
    <x v="239"/>
    <x v="0"/>
    <n v="6"/>
    <x v="0"/>
    <n v="411"/>
    <x v="10"/>
    <x v="1"/>
    <s v="F"/>
    <x v="6"/>
    <n v="90"/>
    <n v="1035597.142857143"/>
    <n v="1449836"/>
    <n v="3"/>
    <n v="3106791.4285714291"/>
    <n v="4349508"/>
    <n v="1242716.5714285709"/>
    <n v="0.39999999999999974"/>
  </r>
  <r>
    <n v="272"/>
    <x v="240"/>
    <x v="4"/>
    <n v="6"/>
    <x v="0"/>
    <n v="130"/>
    <x v="6"/>
    <x v="3"/>
    <s v="E"/>
    <x v="6"/>
    <n v="88"/>
    <n v="6987661.4285714291"/>
    <n v="9782726"/>
    <n v="5"/>
    <n v="34938307.142857149"/>
    <n v="48913630"/>
    <n v="13975322.857142851"/>
    <n v="0.39999999999999974"/>
  </r>
  <r>
    <n v="273"/>
    <x v="156"/>
    <x v="4"/>
    <n v="12"/>
    <x v="4"/>
    <n v="41"/>
    <x v="14"/>
    <x v="4"/>
    <s v="B"/>
    <x v="5"/>
    <n v="88"/>
    <n v="5723222.8571428573"/>
    <n v="8012512"/>
    <n v="5"/>
    <n v="28616114.285714287"/>
    <n v="40062560"/>
    <n v="11446445.714285713"/>
    <n v="0.39999999999999991"/>
  </r>
  <r>
    <n v="274"/>
    <x v="241"/>
    <x v="2"/>
    <n v="9"/>
    <x v="3"/>
    <n v="224"/>
    <x v="6"/>
    <x v="3"/>
    <s v="F"/>
    <x v="2"/>
    <n v="66"/>
    <n v="6919205.7142857146"/>
    <n v="9686888"/>
    <n v="7"/>
    <n v="48434440"/>
    <n v="67808216"/>
    <n v="19373776"/>
    <n v="0.4"/>
  </r>
  <r>
    <n v="275"/>
    <x v="242"/>
    <x v="4"/>
    <n v="3"/>
    <x v="6"/>
    <n v="349"/>
    <x v="8"/>
    <x v="3"/>
    <s v="C"/>
    <x v="2"/>
    <n v="86"/>
    <n v="1940387.8571428573"/>
    <n v="2716543"/>
    <n v="9"/>
    <n v="17463490.714285716"/>
    <n v="24448887"/>
    <n v="6985396.2857142836"/>
    <n v="0.39999999999999986"/>
  </r>
  <r>
    <n v="276"/>
    <x v="243"/>
    <x v="1"/>
    <n v="12"/>
    <x v="4"/>
    <n v="108"/>
    <x v="3"/>
    <x v="2"/>
    <s v="B"/>
    <x v="6"/>
    <n v="99"/>
    <n v="1736811.4285714286"/>
    <n v="2431536"/>
    <n v="9"/>
    <n v="15631302.857142858"/>
    <n v="21883824"/>
    <n v="6252521.1428571418"/>
    <n v="0.39999999999999991"/>
  </r>
  <r>
    <n v="277"/>
    <x v="244"/>
    <x v="1"/>
    <n v="11"/>
    <x v="10"/>
    <n v="348"/>
    <x v="12"/>
    <x v="4"/>
    <s v="B"/>
    <x v="7"/>
    <n v="91"/>
    <n v="4083924.2857142859"/>
    <n v="5717494"/>
    <n v="10"/>
    <n v="40839242.857142858"/>
    <n v="57174940"/>
    <n v="16335697.142857142"/>
    <n v="0.39999999999999997"/>
  </r>
  <r>
    <n v="278"/>
    <x v="245"/>
    <x v="1"/>
    <n v="8"/>
    <x v="8"/>
    <n v="161"/>
    <x v="16"/>
    <x v="4"/>
    <s v="C"/>
    <x v="0"/>
    <n v="54"/>
    <n v="2738824.2857142859"/>
    <n v="3834354"/>
    <n v="10"/>
    <n v="27388242.857142858"/>
    <n v="38343540"/>
    <n v="10955297.142857142"/>
    <n v="0.39999999999999997"/>
  </r>
  <r>
    <n v="279"/>
    <x v="246"/>
    <x v="1"/>
    <n v="3"/>
    <x v="6"/>
    <n v="346"/>
    <x v="16"/>
    <x v="4"/>
    <s v="C"/>
    <x v="0"/>
    <n v="65"/>
    <n v="2234132.1428571432"/>
    <n v="3127785"/>
    <n v="9"/>
    <n v="20107189.285714287"/>
    <n v="28150065"/>
    <n v="8042875.7142857127"/>
    <n v="0.39999999999999991"/>
  </r>
  <r>
    <n v="280"/>
    <x v="247"/>
    <x v="4"/>
    <n v="10"/>
    <x v="11"/>
    <n v="374"/>
    <x v="4"/>
    <x v="3"/>
    <s v="D"/>
    <x v="7"/>
    <n v="83"/>
    <n v="4342601.4285714291"/>
    <n v="6079642"/>
    <n v="6"/>
    <n v="26055608.571428575"/>
    <n v="36477852"/>
    <n v="10422243.428571425"/>
    <n v="0.39999999999999986"/>
  </r>
  <r>
    <n v="281"/>
    <x v="0"/>
    <x v="0"/>
    <n v="6"/>
    <x v="0"/>
    <n v="448"/>
    <x v="3"/>
    <x v="2"/>
    <s v="C"/>
    <x v="0"/>
    <n v="98"/>
    <n v="2168857.8571428573"/>
    <n v="3036401"/>
    <n v="2"/>
    <n v="4337715.7142857146"/>
    <n v="6072802"/>
    <n v="1735086.2857142854"/>
    <n v="0.39999999999999991"/>
  </r>
  <r>
    <n v="282"/>
    <x v="110"/>
    <x v="2"/>
    <n v="8"/>
    <x v="8"/>
    <n v="65"/>
    <x v="6"/>
    <x v="3"/>
    <s v="C"/>
    <x v="6"/>
    <n v="97"/>
    <n v="5441785.7142857146"/>
    <n v="7618500"/>
    <n v="6"/>
    <n v="32650714.285714287"/>
    <n v="45711000"/>
    <n v="13060285.714285713"/>
    <n v="0.39999999999999991"/>
  </r>
  <r>
    <n v="283"/>
    <x v="248"/>
    <x v="4"/>
    <n v="4"/>
    <x v="2"/>
    <n v="48"/>
    <x v="12"/>
    <x v="4"/>
    <s v="C"/>
    <x v="1"/>
    <n v="60"/>
    <n v="4626920"/>
    <n v="6477688"/>
    <n v="6"/>
    <n v="27761520"/>
    <n v="38866128"/>
    <n v="11104608"/>
    <n v="0.4"/>
  </r>
  <r>
    <n v="284"/>
    <x v="232"/>
    <x v="2"/>
    <n v="6"/>
    <x v="0"/>
    <n v="298"/>
    <x v="16"/>
    <x v="4"/>
    <s v="D"/>
    <x v="7"/>
    <n v="91"/>
    <n v="2591645.7142857146"/>
    <n v="3628304"/>
    <n v="4"/>
    <n v="10366582.857142858"/>
    <n v="14513216"/>
    <n v="4146633.1428571418"/>
    <n v="0.39999999999999986"/>
  </r>
  <r>
    <n v="285"/>
    <x v="249"/>
    <x v="4"/>
    <n v="8"/>
    <x v="8"/>
    <n v="117"/>
    <x v="3"/>
    <x v="2"/>
    <s v="E"/>
    <x v="2"/>
    <n v="64"/>
    <n v="5058172.1428571427"/>
    <n v="7081441"/>
    <n v="5"/>
    <n v="25290860.714285713"/>
    <n v="35407205"/>
    <n v="10116344.285714287"/>
    <n v="0.40000000000000008"/>
  </r>
  <r>
    <n v="286"/>
    <x v="250"/>
    <x v="2"/>
    <n v="10"/>
    <x v="11"/>
    <n v="282"/>
    <x v="16"/>
    <x v="4"/>
    <s v="D"/>
    <x v="0"/>
    <n v="52"/>
    <n v="3547534.2857142859"/>
    <n v="4966548"/>
    <n v="10"/>
    <n v="35475342.857142858"/>
    <n v="49665480"/>
    <n v="14190137.142857142"/>
    <n v="0.39999999999999997"/>
  </r>
  <r>
    <n v="287"/>
    <x v="89"/>
    <x v="0"/>
    <n v="3"/>
    <x v="6"/>
    <n v="252"/>
    <x v="0"/>
    <x v="0"/>
    <s v="E"/>
    <x v="3"/>
    <n v="94"/>
    <n v="6755139.2857142864"/>
    <n v="9457195"/>
    <n v="9"/>
    <n v="60796253.571428575"/>
    <n v="85114755"/>
    <n v="24318501.428571425"/>
    <n v="0.39999999999999991"/>
  </r>
  <r>
    <n v="288"/>
    <x v="251"/>
    <x v="1"/>
    <n v="6"/>
    <x v="0"/>
    <n v="267"/>
    <x v="9"/>
    <x v="0"/>
    <s v="D"/>
    <x v="8"/>
    <n v="53"/>
    <n v="1859670.0000000002"/>
    <n v="2603538"/>
    <n v="9"/>
    <n v="16737030.000000002"/>
    <n v="23431842"/>
    <n v="6694811.9999999981"/>
    <n v="0.39999999999999986"/>
  </r>
  <r>
    <n v="289"/>
    <x v="252"/>
    <x v="4"/>
    <n v="5"/>
    <x v="9"/>
    <n v="101"/>
    <x v="2"/>
    <x v="2"/>
    <s v="C"/>
    <x v="5"/>
    <n v="58"/>
    <n v="4350275.7142857146"/>
    <n v="6090386"/>
    <n v="3"/>
    <n v="13050827.142857144"/>
    <n v="18271158"/>
    <n v="5220330.8571428563"/>
    <n v="0.39999999999999991"/>
  </r>
  <r>
    <n v="290"/>
    <x v="253"/>
    <x v="0"/>
    <n v="9"/>
    <x v="3"/>
    <n v="334"/>
    <x v="7"/>
    <x v="2"/>
    <s v="D"/>
    <x v="8"/>
    <n v="92"/>
    <n v="3184113.5714285718"/>
    <n v="4457759"/>
    <n v="10"/>
    <n v="31841135.714285716"/>
    <n v="44577590"/>
    <n v="12736454.285714284"/>
    <n v="0.39999999999999991"/>
  </r>
  <r>
    <n v="291"/>
    <x v="254"/>
    <x v="4"/>
    <n v="8"/>
    <x v="8"/>
    <n v="44"/>
    <x v="14"/>
    <x v="4"/>
    <s v="F"/>
    <x v="3"/>
    <n v="78"/>
    <n v="5806745.7142857146"/>
    <n v="8129444"/>
    <n v="9"/>
    <n v="52260711.428571433"/>
    <n v="73164996"/>
    <n v="20904284.571428567"/>
    <n v="0.39999999999999991"/>
  </r>
  <r>
    <n v="292"/>
    <x v="255"/>
    <x v="0"/>
    <n v="10"/>
    <x v="11"/>
    <n v="16"/>
    <x v="16"/>
    <x v="4"/>
    <s v="F"/>
    <x v="5"/>
    <n v="68"/>
    <n v="1992137.8571428573"/>
    <n v="2788993"/>
    <n v="4"/>
    <n v="7968551.4285714291"/>
    <n v="11155972"/>
    <n v="3187420.5714285709"/>
    <n v="0.39999999999999991"/>
  </r>
  <r>
    <n v="293"/>
    <x v="256"/>
    <x v="2"/>
    <n v="11"/>
    <x v="10"/>
    <n v="496"/>
    <x v="1"/>
    <x v="1"/>
    <s v="F"/>
    <x v="0"/>
    <n v="90"/>
    <n v="4925557.8571428573"/>
    <n v="6895781"/>
    <n v="5"/>
    <n v="24627789.285714287"/>
    <n v="34478905"/>
    <n v="9851115.7142857127"/>
    <n v="0.39999999999999991"/>
  </r>
  <r>
    <n v="294"/>
    <x v="257"/>
    <x v="0"/>
    <n v="10"/>
    <x v="11"/>
    <n v="381"/>
    <x v="19"/>
    <x v="4"/>
    <s v="B"/>
    <x v="2"/>
    <n v="100"/>
    <n v="1230335.7142857143"/>
    <n v="1722470"/>
    <n v="5"/>
    <n v="6151678.5714285718"/>
    <n v="8612350"/>
    <n v="2460671.4285714282"/>
    <n v="0.39999999999999991"/>
  </r>
  <r>
    <n v="295"/>
    <x v="258"/>
    <x v="1"/>
    <n v="11"/>
    <x v="10"/>
    <n v="239"/>
    <x v="3"/>
    <x v="2"/>
    <s v="A"/>
    <x v="2"/>
    <n v="79"/>
    <n v="3223372.8571428573"/>
    <n v="4512722"/>
    <n v="2"/>
    <n v="6446745.7142857146"/>
    <n v="9025444"/>
    <n v="2578698.2857142854"/>
    <n v="0.39999999999999997"/>
  </r>
  <r>
    <n v="296"/>
    <x v="259"/>
    <x v="4"/>
    <n v="1"/>
    <x v="5"/>
    <n v="10"/>
    <x v="4"/>
    <x v="3"/>
    <s v="D"/>
    <x v="7"/>
    <n v="73"/>
    <n v="4341442.8571428573"/>
    <n v="6078020"/>
    <n v="5"/>
    <n v="21707214.285714287"/>
    <n v="30390100"/>
    <n v="8682885.7142857127"/>
    <n v="0.39999999999999991"/>
  </r>
  <r>
    <n v="297"/>
    <x v="260"/>
    <x v="1"/>
    <n v="12"/>
    <x v="4"/>
    <n v="67"/>
    <x v="0"/>
    <x v="0"/>
    <s v="C"/>
    <x v="6"/>
    <n v="93"/>
    <n v="2807403.5714285718"/>
    <n v="3930365"/>
    <n v="1"/>
    <n v="2807403.5714285718"/>
    <n v="3930365"/>
    <n v="1122961.4285714282"/>
    <n v="0.3999999999999998"/>
  </r>
  <r>
    <n v="298"/>
    <x v="261"/>
    <x v="0"/>
    <n v="5"/>
    <x v="9"/>
    <n v="491"/>
    <x v="12"/>
    <x v="4"/>
    <s v="A"/>
    <x v="3"/>
    <n v="89"/>
    <n v="4265330.7142857146"/>
    <n v="5971463"/>
    <n v="1"/>
    <n v="4265330.7142857146"/>
    <n v="5971463"/>
    <n v="1706132.2857142854"/>
    <n v="0.39999999999999991"/>
  </r>
  <r>
    <n v="299"/>
    <x v="262"/>
    <x v="4"/>
    <n v="11"/>
    <x v="10"/>
    <n v="268"/>
    <x v="2"/>
    <x v="2"/>
    <s v="F"/>
    <x v="6"/>
    <n v="58"/>
    <n v="5371667.8571428573"/>
    <n v="7520335"/>
    <n v="2"/>
    <n v="10743335.714285715"/>
    <n v="15040670"/>
    <n v="4297334.2857142854"/>
    <n v="0.39999999999999997"/>
  </r>
  <r>
    <n v="300"/>
    <x v="263"/>
    <x v="0"/>
    <n v="12"/>
    <x v="4"/>
    <n v="454"/>
    <x v="2"/>
    <x v="2"/>
    <s v="F"/>
    <x v="2"/>
    <n v="72"/>
    <n v="5881883.5714285718"/>
    <n v="8234637"/>
    <n v="2"/>
    <n v="11763767.142857144"/>
    <n v="16469274"/>
    <n v="4705506.8571428563"/>
    <n v="0.39999999999999991"/>
  </r>
  <r>
    <n v="301"/>
    <x v="264"/>
    <x v="1"/>
    <n v="10"/>
    <x v="11"/>
    <n v="217"/>
    <x v="6"/>
    <x v="3"/>
    <s v="D"/>
    <x v="1"/>
    <n v="65"/>
    <n v="5462877.1428571437"/>
    <n v="7648028"/>
    <n v="2"/>
    <n v="10925754.285714287"/>
    <n v="15296056"/>
    <n v="4370301.7142857127"/>
    <n v="0.3999999999999998"/>
  </r>
  <r>
    <n v="302"/>
    <x v="265"/>
    <x v="3"/>
    <n v="1"/>
    <x v="5"/>
    <n v="149"/>
    <x v="6"/>
    <x v="3"/>
    <s v="A"/>
    <x v="2"/>
    <n v="92"/>
    <n v="6866218.5714285718"/>
    <n v="9612706"/>
    <n v="2"/>
    <n v="13732437.142857144"/>
    <n v="19225412"/>
    <n v="5492974.8571428563"/>
    <n v="0.39999999999999991"/>
  </r>
  <r>
    <n v="303"/>
    <x v="198"/>
    <x v="2"/>
    <n v="12"/>
    <x v="4"/>
    <n v="201"/>
    <x v="2"/>
    <x v="2"/>
    <s v="B"/>
    <x v="1"/>
    <n v="64"/>
    <n v="2752089.2857142859"/>
    <n v="3852925"/>
    <n v="4"/>
    <n v="11008357.142857144"/>
    <n v="15411700"/>
    <n v="4403342.8571428563"/>
    <n v="0.39999999999999991"/>
  </r>
  <r>
    <n v="304"/>
    <x v="266"/>
    <x v="4"/>
    <n v="11"/>
    <x v="10"/>
    <n v="435"/>
    <x v="12"/>
    <x v="4"/>
    <s v="F"/>
    <x v="6"/>
    <n v="96"/>
    <n v="4148560.7142857146"/>
    <n v="5807985"/>
    <n v="7"/>
    <n v="29039925"/>
    <n v="40655895"/>
    <n v="11615970"/>
    <n v="0.4"/>
  </r>
  <r>
    <n v="305"/>
    <x v="267"/>
    <x v="0"/>
    <n v="5"/>
    <x v="9"/>
    <n v="348"/>
    <x v="6"/>
    <x v="3"/>
    <s v="F"/>
    <x v="4"/>
    <n v="82"/>
    <n v="6603922.8571428573"/>
    <n v="9245492"/>
    <n v="10"/>
    <n v="66039228.571428575"/>
    <n v="92454920"/>
    <n v="26415691.428571425"/>
    <n v="0.39999999999999991"/>
  </r>
  <r>
    <n v="306"/>
    <x v="268"/>
    <x v="0"/>
    <n v="7"/>
    <x v="7"/>
    <n v="135"/>
    <x v="9"/>
    <x v="0"/>
    <s v="C"/>
    <x v="5"/>
    <n v="73"/>
    <n v="5556728.5714285718"/>
    <n v="7779420"/>
    <n v="7"/>
    <n v="38897100"/>
    <n v="54455940"/>
    <n v="15558840"/>
    <n v="0.4"/>
  </r>
  <r>
    <n v="307"/>
    <x v="269"/>
    <x v="4"/>
    <n v="4"/>
    <x v="2"/>
    <n v="71"/>
    <x v="4"/>
    <x v="3"/>
    <s v="E"/>
    <x v="2"/>
    <n v="78"/>
    <n v="4279092.8571428573"/>
    <n v="5990730"/>
    <n v="2"/>
    <n v="8558185.7142857146"/>
    <n v="11981460"/>
    <n v="3423274.2857142854"/>
    <n v="0.39999999999999997"/>
  </r>
  <r>
    <n v="308"/>
    <x v="134"/>
    <x v="2"/>
    <n v="6"/>
    <x v="0"/>
    <n v="273"/>
    <x v="0"/>
    <x v="0"/>
    <s v="E"/>
    <x v="3"/>
    <n v="93"/>
    <n v="1408119.2857142859"/>
    <n v="1971367"/>
    <n v="4"/>
    <n v="5632477.1428571437"/>
    <n v="7885468"/>
    <n v="2252990.8571428563"/>
    <n v="0.3999999999999998"/>
  </r>
  <r>
    <n v="309"/>
    <x v="169"/>
    <x v="2"/>
    <n v="12"/>
    <x v="4"/>
    <n v="319"/>
    <x v="6"/>
    <x v="3"/>
    <s v="C"/>
    <x v="6"/>
    <n v="65"/>
    <n v="7005786.4285714291"/>
    <n v="9808101"/>
    <n v="5"/>
    <n v="35028932.142857149"/>
    <n v="49040505"/>
    <n v="14011572.857142851"/>
    <n v="0.39999999999999974"/>
  </r>
  <r>
    <n v="310"/>
    <x v="270"/>
    <x v="4"/>
    <n v="10"/>
    <x v="11"/>
    <n v="90"/>
    <x v="6"/>
    <x v="3"/>
    <s v="F"/>
    <x v="1"/>
    <n v="89"/>
    <n v="5995702.1428571437"/>
    <n v="8393983"/>
    <n v="9"/>
    <n v="53961319.285714291"/>
    <n v="75545847"/>
    <n v="21584527.714285709"/>
    <n v="0.39999999999999986"/>
  </r>
  <r>
    <n v="311"/>
    <x v="85"/>
    <x v="4"/>
    <n v="7"/>
    <x v="7"/>
    <n v="127"/>
    <x v="4"/>
    <x v="3"/>
    <s v="E"/>
    <x v="7"/>
    <n v="77"/>
    <n v="4178380.7142857146"/>
    <n v="5849733"/>
    <n v="7"/>
    <n v="29248665"/>
    <n v="40948131"/>
    <n v="11699466"/>
    <n v="0.4"/>
  </r>
  <r>
    <n v="312"/>
    <x v="271"/>
    <x v="0"/>
    <n v="12"/>
    <x v="4"/>
    <n v="32"/>
    <x v="13"/>
    <x v="3"/>
    <s v="A"/>
    <x v="1"/>
    <n v="70"/>
    <n v="403021.42857142858"/>
    <n v="564230"/>
    <n v="10"/>
    <n v="4030214.2857142859"/>
    <n v="5642300"/>
    <n v="1612085.7142857141"/>
    <n v="0.39999999999999991"/>
  </r>
  <r>
    <n v="313"/>
    <x v="272"/>
    <x v="4"/>
    <n v="8"/>
    <x v="8"/>
    <n v="136"/>
    <x v="16"/>
    <x v="4"/>
    <s v="A"/>
    <x v="6"/>
    <n v="87"/>
    <n v="2937071.4285714286"/>
    <n v="4111900"/>
    <n v="10"/>
    <n v="29370714.285714287"/>
    <n v="41119000"/>
    <n v="11748285.714285713"/>
    <n v="0.39999999999999991"/>
  </r>
  <r>
    <n v="314"/>
    <x v="273"/>
    <x v="2"/>
    <n v="9"/>
    <x v="3"/>
    <n v="204"/>
    <x v="6"/>
    <x v="3"/>
    <s v="B"/>
    <x v="2"/>
    <n v="55"/>
    <n v="6609927.1428571437"/>
    <n v="9253898"/>
    <n v="7"/>
    <n v="46269490.000000007"/>
    <n v="64777286"/>
    <n v="18507795.999999993"/>
    <n v="0.3999999999999998"/>
  </r>
  <r>
    <n v="315"/>
    <x v="274"/>
    <x v="3"/>
    <n v="3"/>
    <x v="6"/>
    <n v="320"/>
    <x v="8"/>
    <x v="3"/>
    <s v="D"/>
    <x v="7"/>
    <n v="87"/>
    <n v="2049374.2857142859"/>
    <n v="2869124"/>
    <n v="10"/>
    <n v="20493742.857142858"/>
    <n v="28691240"/>
    <n v="8197497.1428571418"/>
    <n v="0.39999999999999991"/>
  </r>
  <r>
    <n v="316"/>
    <x v="275"/>
    <x v="4"/>
    <n v="1"/>
    <x v="5"/>
    <n v="364"/>
    <x v="12"/>
    <x v="4"/>
    <s v="C"/>
    <x v="7"/>
    <n v="91"/>
    <n v="4587222.8571428573"/>
    <n v="6422112"/>
    <n v="8"/>
    <n v="36697782.857142858"/>
    <n v="51376896"/>
    <n v="14679113.142857142"/>
    <n v="0.39999999999999997"/>
  </r>
  <r>
    <n v="317"/>
    <x v="153"/>
    <x v="0"/>
    <n v="5"/>
    <x v="9"/>
    <n v="77"/>
    <x v="9"/>
    <x v="0"/>
    <s v="B"/>
    <x v="6"/>
    <n v="91"/>
    <n v="4428486.4285714291"/>
    <n v="6199881"/>
    <n v="1"/>
    <n v="4428486.4285714291"/>
    <n v="6199881"/>
    <n v="1771394.5714285709"/>
    <n v="0.39999999999999986"/>
  </r>
  <r>
    <n v="318"/>
    <x v="276"/>
    <x v="1"/>
    <n v="6"/>
    <x v="0"/>
    <n v="269"/>
    <x v="4"/>
    <x v="3"/>
    <s v="A"/>
    <x v="3"/>
    <n v="80"/>
    <n v="4661940.7142857146"/>
    <n v="6526717"/>
    <n v="10"/>
    <n v="46619407.142857149"/>
    <n v="65267170"/>
    <n v="18647762.857142851"/>
    <n v="0.3999999999999998"/>
  </r>
  <r>
    <n v="319"/>
    <x v="277"/>
    <x v="1"/>
    <n v="5"/>
    <x v="9"/>
    <n v="156"/>
    <x v="8"/>
    <x v="3"/>
    <s v="A"/>
    <x v="4"/>
    <n v="99"/>
    <n v="1870259.2857142859"/>
    <n v="2618363"/>
    <n v="7"/>
    <n v="13091815.000000002"/>
    <n v="18328541"/>
    <n v="5236725.9999999981"/>
    <n v="0.3999999999999998"/>
  </r>
  <r>
    <n v="320"/>
    <x v="48"/>
    <x v="3"/>
    <n v="2"/>
    <x v="1"/>
    <n v="231"/>
    <x v="1"/>
    <x v="1"/>
    <s v="D"/>
    <x v="3"/>
    <n v="90"/>
    <n v="1412950"/>
    <n v="1978130"/>
    <n v="9"/>
    <n v="12716550"/>
    <n v="17803170"/>
    <n v="5086620"/>
    <n v="0.4"/>
  </r>
  <r>
    <n v="321"/>
    <x v="138"/>
    <x v="2"/>
    <n v="12"/>
    <x v="4"/>
    <n v="83"/>
    <x v="4"/>
    <x v="3"/>
    <s v="B"/>
    <x v="5"/>
    <n v="87"/>
    <n v="4878668.5714285718"/>
    <n v="6830136"/>
    <n v="1"/>
    <n v="4878668.5714285718"/>
    <n v="6830136"/>
    <n v="1951467.4285714282"/>
    <n v="0.39999999999999991"/>
  </r>
  <r>
    <n v="322"/>
    <x v="278"/>
    <x v="1"/>
    <n v="4"/>
    <x v="2"/>
    <n v="39"/>
    <x v="4"/>
    <x v="3"/>
    <s v="B"/>
    <x v="7"/>
    <n v="94"/>
    <n v="5083092.8571428573"/>
    <n v="7116330"/>
    <n v="6"/>
    <n v="30498557.142857142"/>
    <n v="42697980"/>
    <n v="12199422.857142858"/>
    <n v="0.4"/>
  </r>
  <r>
    <n v="323"/>
    <x v="279"/>
    <x v="1"/>
    <n v="10"/>
    <x v="11"/>
    <n v="41"/>
    <x v="4"/>
    <x v="3"/>
    <s v="A"/>
    <x v="5"/>
    <n v="62"/>
    <n v="4756402.1428571427"/>
    <n v="6658963"/>
    <n v="7"/>
    <n v="33294815"/>
    <n v="46612741"/>
    <n v="13317926"/>
    <n v="0.4"/>
  </r>
  <r>
    <n v="324"/>
    <x v="146"/>
    <x v="0"/>
    <n v="2"/>
    <x v="1"/>
    <n v="317"/>
    <x v="6"/>
    <x v="3"/>
    <s v="F"/>
    <x v="0"/>
    <n v="90"/>
    <n v="6844877.8571428573"/>
    <n v="9582829"/>
    <n v="2"/>
    <n v="13689755.714285715"/>
    <n v="19165658"/>
    <n v="5475902.2857142854"/>
    <n v="0.39999999999999997"/>
  </r>
  <r>
    <n v="325"/>
    <x v="280"/>
    <x v="1"/>
    <n v="9"/>
    <x v="3"/>
    <n v="4"/>
    <x v="17"/>
    <x v="1"/>
    <s v="F"/>
    <x v="0"/>
    <n v="100"/>
    <n v="2591790"/>
    <n v="3628506"/>
    <n v="1"/>
    <n v="2591790"/>
    <n v="3628506"/>
    <n v="1036716"/>
    <n v="0.4"/>
  </r>
  <r>
    <n v="326"/>
    <x v="281"/>
    <x v="1"/>
    <n v="4"/>
    <x v="2"/>
    <n v="189"/>
    <x v="1"/>
    <x v="1"/>
    <s v="D"/>
    <x v="5"/>
    <n v="84"/>
    <n v="441600"/>
    <n v="618240"/>
    <n v="7"/>
    <n v="3091200"/>
    <n v="4327680"/>
    <n v="1236480"/>
    <n v="0.4"/>
  </r>
  <r>
    <n v="327"/>
    <x v="195"/>
    <x v="1"/>
    <n v="2"/>
    <x v="1"/>
    <n v="53"/>
    <x v="11"/>
    <x v="1"/>
    <s v="A"/>
    <x v="4"/>
    <n v="84"/>
    <n v="2171175.7142857146"/>
    <n v="3039646"/>
    <n v="5"/>
    <n v="10855878.571428573"/>
    <n v="15198230"/>
    <n v="4342351.4285714272"/>
    <n v="0.39999999999999986"/>
  </r>
  <r>
    <n v="328"/>
    <x v="282"/>
    <x v="4"/>
    <n v="12"/>
    <x v="4"/>
    <n v="246"/>
    <x v="11"/>
    <x v="1"/>
    <s v="E"/>
    <x v="0"/>
    <n v="100"/>
    <n v="5214430"/>
    <n v="7300202"/>
    <n v="1"/>
    <n v="5214430"/>
    <n v="7300202"/>
    <n v="2085772"/>
    <n v="0.4"/>
  </r>
  <r>
    <n v="329"/>
    <x v="260"/>
    <x v="1"/>
    <n v="12"/>
    <x v="4"/>
    <n v="231"/>
    <x v="11"/>
    <x v="1"/>
    <s v="B"/>
    <x v="2"/>
    <n v="84"/>
    <n v="4767960.7142857146"/>
    <n v="6675145"/>
    <n v="3"/>
    <n v="14303882.142857144"/>
    <n v="20025435"/>
    <n v="5721552.8571428563"/>
    <n v="0.39999999999999991"/>
  </r>
  <r>
    <n v="330"/>
    <x v="283"/>
    <x v="4"/>
    <n v="7"/>
    <x v="7"/>
    <n v="17"/>
    <x v="8"/>
    <x v="3"/>
    <s v="F"/>
    <x v="3"/>
    <n v="61"/>
    <n v="3282034.2857142859"/>
    <n v="4594848"/>
    <n v="4"/>
    <n v="13128137.142857144"/>
    <n v="18379392"/>
    <n v="5251254.8571428563"/>
    <n v="0.39999999999999991"/>
  </r>
  <r>
    <n v="331"/>
    <x v="284"/>
    <x v="4"/>
    <n v="6"/>
    <x v="0"/>
    <n v="323"/>
    <x v="7"/>
    <x v="2"/>
    <s v="C"/>
    <x v="1"/>
    <n v="55"/>
    <n v="6187503.5714285718"/>
    <n v="8662505"/>
    <n v="9"/>
    <n v="55687532.142857149"/>
    <n v="77962545"/>
    <n v="22275012.857142851"/>
    <n v="0.39999999999999986"/>
  </r>
  <r>
    <n v="332"/>
    <x v="285"/>
    <x v="1"/>
    <n v="10"/>
    <x v="11"/>
    <n v="332"/>
    <x v="0"/>
    <x v="0"/>
    <s v="F"/>
    <x v="4"/>
    <n v="76"/>
    <n v="4913981.4285714291"/>
    <n v="6879574"/>
    <n v="6"/>
    <n v="29483888.571428575"/>
    <n v="41277444"/>
    <n v="11793555.428571425"/>
    <n v="0.39999999999999986"/>
  </r>
  <r>
    <n v="333"/>
    <x v="286"/>
    <x v="0"/>
    <n v="4"/>
    <x v="2"/>
    <n v="257"/>
    <x v="3"/>
    <x v="2"/>
    <s v="F"/>
    <x v="0"/>
    <n v="53"/>
    <n v="2491649.2857142859"/>
    <n v="3488309"/>
    <n v="5"/>
    <n v="12458246.428571429"/>
    <n v="17441545"/>
    <n v="4983298.5714285709"/>
    <n v="0.39999999999999997"/>
  </r>
  <r>
    <n v="334"/>
    <x v="287"/>
    <x v="1"/>
    <n v="2"/>
    <x v="1"/>
    <n v="393"/>
    <x v="8"/>
    <x v="3"/>
    <s v="F"/>
    <x v="4"/>
    <n v="98"/>
    <n v="3170232.1428571432"/>
    <n v="4438325"/>
    <n v="3"/>
    <n v="9510696.4285714291"/>
    <n v="13314975"/>
    <n v="3804278.5714285709"/>
    <n v="0.39999999999999991"/>
  </r>
  <r>
    <n v="335"/>
    <x v="288"/>
    <x v="4"/>
    <n v="8"/>
    <x v="8"/>
    <n v="7"/>
    <x v="3"/>
    <x v="2"/>
    <s v="B"/>
    <x v="6"/>
    <n v="76"/>
    <n v="1785280"/>
    <n v="2499392"/>
    <n v="1"/>
    <n v="1785280"/>
    <n v="2499392"/>
    <n v="714112"/>
    <n v="0.4"/>
  </r>
  <r>
    <n v="336"/>
    <x v="289"/>
    <x v="1"/>
    <n v="6"/>
    <x v="0"/>
    <n v="33"/>
    <x v="5"/>
    <x v="0"/>
    <s v="A"/>
    <x v="3"/>
    <n v="77"/>
    <n v="2355653.5714285714"/>
    <n v="3297915"/>
    <n v="6"/>
    <n v="14133921.428571429"/>
    <n v="19787490"/>
    <n v="5653568.5714285709"/>
    <n v="0.39999999999999997"/>
  </r>
  <r>
    <n v="337"/>
    <x v="290"/>
    <x v="0"/>
    <n v="4"/>
    <x v="2"/>
    <n v="497"/>
    <x v="8"/>
    <x v="3"/>
    <s v="E"/>
    <x v="2"/>
    <n v="62"/>
    <n v="2851093.5714285718"/>
    <n v="3991531"/>
    <n v="5"/>
    <n v="14255467.857142858"/>
    <n v="19957655"/>
    <n v="5702187.1428571418"/>
    <n v="0.39999999999999991"/>
  </r>
  <r>
    <n v="338"/>
    <x v="291"/>
    <x v="2"/>
    <n v="10"/>
    <x v="11"/>
    <n v="181"/>
    <x v="3"/>
    <x v="2"/>
    <s v="C"/>
    <x v="0"/>
    <n v="58"/>
    <n v="5519252.8571428573"/>
    <n v="7726954"/>
    <n v="7"/>
    <n v="38634770"/>
    <n v="54088678"/>
    <n v="15453908"/>
    <n v="0.4"/>
  </r>
  <r>
    <n v="339"/>
    <x v="292"/>
    <x v="2"/>
    <n v="9"/>
    <x v="3"/>
    <n v="119"/>
    <x v="17"/>
    <x v="1"/>
    <s v="C"/>
    <x v="2"/>
    <n v="63"/>
    <n v="4957524.2857142864"/>
    <n v="6940534"/>
    <n v="2"/>
    <n v="9915048.5714285728"/>
    <n v="13881068"/>
    <n v="3966019.4285714272"/>
    <n v="0.3999999999999998"/>
  </r>
  <r>
    <n v="340"/>
    <x v="293"/>
    <x v="4"/>
    <n v="4"/>
    <x v="2"/>
    <n v="252"/>
    <x v="9"/>
    <x v="0"/>
    <s v="D"/>
    <x v="1"/>
    <n v="81"/>
    <n v="6955816.4285714291"/>
    <n v="9738143"/>
    <n v="4"/>
    <n v="27823265.714285716"/>
    <n v="38952572"/>
    <n v="11129306.285714284"/>
    <n v="0.39999999999999991"/>
  </r>
  <r>
    <n v="341"/>
    <x v="294"/>
    <x v="1"/>
    <n v="5"/>
    <x v="9"/>
    <n v="48"/>
    <x v="12"/>
    <x v="4"/>
    <s v="D"/>
    <x v="3"/>
    <n v="61"/>
    <n v="5091262.1428571427"/>
    <n v="7127767"/>
    <n v="2"/>
    <n v="10182524.285714285"/>
    <n v="14255534"/>
    <n v="4073009.7142857146"/>
    <n v="0.4"/>
  </r>
  <r>
    <n v="342"/>
    <x v="295"/>
    <x v="2"/>
    <n v="11"/>
    <x v="10"/>
    <n v="388"/>
    <x v="14"/>
    <x v="4"/>
    <s v="B"/>
    <x v="7"/>
    <n v="83"/>
    <n v="6200097.8571428573"/>
    <n v="8680137"/>
    <n v="7"/>
    <n v="43400685"/>
    <n v="60760959"/>
    <n v="17360274"/>
    <n v="0.4"/>
  </r>
  <r>
    <n v="343"/>
    <x v="296"/>
    <x v="3"/>
    <n v="2"/>
    <x v="1"/>
    <n v="84"/>
    <x v="2"/>
    <x v="2"/>
    <s v="D"/>
    <x v="8"/>
    <n v="78"/>
    <n v="2312897.1428571432"/>
    <n v="3238056"/>
    <n v="7"/>
    <n v="16190280.000000002"/>
    <n v="22666392"/>
    <n v="6476111.9999999981"/>
    <n v="0.39999999999999986"/>
  </r>
  <r>
    <n v="344"/>
    <x v="297"/>
    <x v="4"/>
    <n v="12"/>
    <x v="4"/>
    <n v="87"/>
    <x v="2"/>
    <x v="2"/>
    <s v="B"/>
    <x v="5"/>
    <n v="85"/>
    <n v="3725066.4285714286"/>
    <n v="5215093"/>
    <n v="7"/>
    <n v="26075465"/>
    <n v="36505651"/>
    <n v="10430186"/>
    <n v="0.4"/>
  </r>
  <r>
    <n v="345"/>
    <x v="298"/>
    <x v="2"/>
    <n v="4"/>
    <x v="2"/>
    <n v="315"/>
    <x v="10"/>
    <x v="1"/>
    <s v="A"/>
    <x v="5"/>
    <n v="50"/>
    <n v="3656529.2857142859"/>
    <n v="5119141"/>
    <n v="7"/>
    <n v="25595705"/>
    <n v="35833987"/>
    <n v="10238282"/>
    <n v="0.4"/>
  </r>
  <r>
    <n v="346"/>
    <x v="299"/>
    <x v="1"/>
    <n v="2"/>
    <x v="1"/>
    <n v="56"/>
    <x v="15"/>
    <x v="0"/>
    <s v="D"/>
    <x v="4"/>
    <n v="68"/>
    <n v="2398855"/>
    <n v="3358397"/>
    <n v="2"/>
    <n v="4797710"/>
    <n v="6716794"/>
    <n v="1919084"/>
    <n v="0.4"/>
  </r>
  <r>
    <n v="347"/>
    <x v="300"/>
    <x v="4"/>
    <n v="2"/>
    <x v="1"/>
    <n v="184"/>
    <x v="16"/>
    <x v="4"/>
    <s v="A"/>
    <x v="4"/>
    <n v="79"/>
    <n v="3455226.4285714286"/>
    <n v="4837317"/>
    <n v="10"/>
    <n v="34552264.285714284"/>
    <n v="48373170"/>
    <n v="13820905.714285716"/>
    <n v="0.40000000000000008"/>
  </r>
  <r>
    <n v="348"/>
    <x v="301"/>
    <x v="1"/>
    <n v="4"/>
    <x v="2"/>
    <n v="443"/>
    <x v="8"/>
    <x v="3"/>
    <s v="C"/>
    <x v="8"/>
    <n v="81"/>
    <n v="2818210.7142857146"/>
    <n v="3945495"/>
    <n v="5"/>
    <n v="14091053.571428573"/>
    <n v="19727475"/>
    <n v="5636421.4285714272"/>
    <n v="0.39999999999999986"/>
  </r>
  <r>
    <n v="349"/>
    <x v="2"/>
    <x v="2"/>
    <n v="4"/>
    <x v="2"/>
    <n v="379"/>
    <x v="4"/>
    <x v="3"/>
    <s v="E"/>
    <x v="3"/>
    <n v="85"/>
    <n v="4652727.1428571427"/>
    <n v="6513818"/>
    <n v="1"/>
    <n v="4652727.1428571427"/>
    <n v="6513818"/>
    <n v="1861090.8571428573"/>
    <n v="0.4"/>
  </r>
  <r>
    <n v="350"/>
    <x v="302"/>
    <x v="1"/>
    <n v="7"/>
    <x v="7"/>
    <n v="418"/>
    <x v="2"/>
    <x v="2"/>
    <s v="C"/>
    <x v="8"/>
    <n v="68"/>
    <n v="3935095.7142857146"/>
    <n v="5509134"/>
    <n v="1"/>
    <n v="3935095.7142857146"/>
    <n v="5509134"/>
    <n v="1574038.2857142854"/>
    <n v="0.39999999999999991"/>
  </r>
  <r>
    <n v="351"/>
    <x v="303"/>
    <x v="4"/>
    <n v="1"/>
    <x v="5"/>
    <n v="335"/>
    <x v="15"/>
    <x v="0"/>
    <s v="F"/>
    <x v="4"/>
    <n v="53"/>
    <n v="4939814.2857142864"/>
    <n v="6915740"/>
    <n v="9"/>
    <n v="44458328.571428575"/>
    <n v="62241660"/>
    <n v="17783331.428571425"/>
    <n v="0.39999999999999991"/>
  </r>
  <r>
    <n v="352"/>
    <x v="304"/>
    <x v="0"/>
    <n v="8"/>
    <x v="8"/>
    <n v="280"/>
    <x v="17"/>
    <x v="1"/>
    <s v="B"/>
    <x v="7"/>
    <n v="97"/>
    <n v="2206667.8571428573"/>
    <n v="3089335"/>
    <n v="1"/>
    <n v="2206667.8571428573"/>
    <n v="3089335"/>
    <n v="882667.14285714272"/>
    <n v="0.39999999999999991"/>
  </r>
  <r>
    <n v="353"/>
    <x v="305"/>
    <x v="0"/>
    <n v="1"/>
    <x v="5"/>
    <n v="391"/>
    <x v="18"/>
    <x v="2"/>
    <s v="F"/>
    <x v="4"/>
    <n v="88"/>
    <n v="2569276.4285714286"/>
    <n v="3596987"/>
    <n v="5"/>
    <n v="12846382.142857144"/>
    <n v="17984935"/>
    <n v="5138552.8571428563"/>
    <n v="0.39999999999999991"/>
  </r>
  <r>
    <n v="354"/>
    <x v="82"/>
    <x v="2"/>
    <n v="6"/>
    <x v="0"/>
    <n v="133"/>
    <x v="11"/>
    <x v="1"/>
    <s v="F"/>
    <x v="4"/>
    <n v="88"/>
    <n v="5770351.4285714291"/>
    <n v="8078492"/>
    <n v="10"/>
    <n v="57703514.285714291"/>
    <n v="80784920"/>
    <n v="23081405.714285709"/>
    <n v="0.39999999999999986"/>
  </r>
  <r>
    <n v="355"/>
    <x v="306"/>
    <x v="4"/>
    <n v="7"/>
    <x v="7"/>
    <n v="137"/>
    <x v="7"/>
    <x v="2"/>
    <s v="F"/>
    <x v="6"/>
    <n v="87"/>
    <n v="575337.14285714284"/>
    <n v="805472"/>
    <n v="5"/>
    <n v="2876685.7142857141"/>
    <n v="4027360"/>
    <n v="1150674.2857142859"/>
    <n v="0.40000000000000008"/>
  </r>
  <r>
    <n v="356"/>
    <x v="307"/>
    <x v="1"/>
    <n v="3"/>
    <x v="6"/>
    <n v="455"/>
    <x v="4"/>
    <x v="3"/>
    <s v="D"/>
    <x v="7"/>
    <n v="100"/>
    <n v="4870450"/>
    <n v="6818630"/>
    <n v="2"/>
    <n v="9740900"/>
    <n v="13637260"/>
    <n v="3896360"/>
    <n v="0.4"/>
  </r>
  <r>
    <n v="357"/>
    <x v="308"/>
    <x v="0"/>
    <n v="4"/>
    <x v="2"/>
    <n v="238"/>
    <x v="16"/>
    <x v="4"/>
    <s v="D"/>
    <x v="6"/>
    <n v="70"/>
    <n v="2172994.2857142859"/>
    <n v="3042192"/>
    <n v="4"/>
    <n v="8691977.1428571437"/>
    <n v="12168768"/>
    <n v="3476790.8571428563"/>
    <n v="0.39999999999999986"/>
  </r>
  <r>
    <n v="358"/>
    <x v="309"/>
    <x v="4"/>
    <n v="4"/>
    <x v="2"/>
    <n v="365"/>
    <x v="1"/>
    <x v="1"/>
    <s v="C"/>
    <x v="2"/>
    <n v="50"/>
    <n v="2957188.5714285718"/>
    <n v="4140064"/>
    <n v="6"/>
    <n v="17743131.428571433"/>
    <n v="24840384"/>
    <n v="7097252.5714285672"/>
    <n v="0.39999999999999969"/>
  </r>
  <r>
    <n v="359"/>
    <x v="310"/>
    <x v="0"/>
    <n v="11"/>
    <x v="10"/>
    <n v="142"/>
    <x v="17"/>
    <x v="1"/>
    <s v="A"/>
    <x v="2"/>
    <n v="54"/>
    <n v="2778273.5714285718"/>
    <n v="3889583"/>
    <n v="5"/>
    <n v="13891367.857142858"/>
    <n v="19447915"/>
    <n v="5556547.1428571418"/>
    <n v="0.39999999999999991"/>
  </r>
  <r>
    <n v="360"/>
    <x v="311"/>
    <x v="4"/>
    <n v="11"/>
    <x v="10"/>
    <n v="286"/>
    <x v="15"/>
    <x v="0"/>
    <s v="E"/>
    <x v="6"/>
    <n v="75"/>
    <n v="2647582.1428571432"/>
    <n v="3706615"/>
    <n v="1"/>
    <n v="2647582.1428571432"/>
    <n v="3706615"/>
    <n v="1059032.8571428568"/>
    <n v="0.3999999999999998"/>
  </r>
  <r>
    <n v="361"/>
    <x v="312"/>
    <x v="0"/>
    <n v="10"/>
    <x v="11"/>
    <n v="485"/>
    <x v="6"/>
    <x v="3"/>
    <s v="F"/>
    <x v="5"/>
    <n v="72"/>
    <n v="5892565"/>
    <n v="8249591"/>
    <n v="10"/>
    <n v="58925650"/>
    <n v="82495910"/>
    <n v="23570260"/>
    <n v="0.4"/>
  </r>
  <r>
    <n v="362"/>
    <x v="153"/>
    <x v="0"/>
    <n v="5"/>
    <x v="9"/>
    <n v="406"/>
    <x v="0"/>
    <x v="0"/>
    <s v="B"/>
    <x v="1"/>
    <n v="69"/>
    <n v="6128122.8571428573"/>
    <n v="8579372"/>
    <n v="4"/>
    <n v="24512491.428571429"/>
    <n v="34317488"/>
    <n v="9804996.5714285709"/>
    <n v="0.39999999999999997"/>
  </r>
  <r>
    <n v="363"/>
    <x v="313"/>
    <x v="1"/>
    <n v="3"/>
    <x v="6"/>
    <n v="421"/>
    <x v="12"/>
    <x v="4"/>
    <s v="F"/>
    <x v="6"/>
    <n v="88"/>
    <n v="4338072.8571428573"/>
    <n v="6073302"/>
    <n v="8"/>
    <n v="34704582.857142858"/>
    <n v="48586416"/>
    <n v="13881833.142857142"/>
    <n v="0.39999999999999997"/>
  </r>
  <r>
    <n v="364"/>
    <x v="314"/>
    <x v="4"/>
    <n v="9"/>
    <x v="3"/>
    <n v="238"/>
    <x v="14"/>
    <x v="4"/>
    <s v="F"/>
    <x v="2"/>
    <n v="70"/>
    <n v="5376257.8571428573"/>
    <n v="7526761"/>
    <n v="2"/>
    <n v="10752515.714285715"/>
    <n v="15053522"/>
    <n v="4301006.2857142854"/>
    <n v="0.39999999999999997"/>
  </r>
  <r>
    <n v="365"/>
    <x v="177"/>
    <x v="0"/>
    <n v="7"/>
    <x v="7"/>
    <n v="32"/>
    <x v="2"/>
    <x v="2"/>
    <s v="A"/>
    <x v="2"/>
    <n v="70"/>
    <n v="6098915.7142857146"/>
    <n v="8538482"/>
    <n v="9"/>
    <n v="54890241.428571433"/>
    <n v="76846338"/>
    <n v="21956096.571428567"/>
    <n v="0.39999999999999991"/>
  </r>
  <r>
    <n v="366"/>
    <x v="315"/>
    <x v="0"/>
    <n v="12"/>
    <x v="4"/>
    <n v="297"/>
    <x v="15"/>
    <x v="0"/>
    <s v="E"/>
    <x v="2"/>
    <n v="81"/>
    <n v="7101506.4285714291"/>
    <n v="9942109"/>
    <n v="7"/>
    <n v="49710545"/>
    <n v="69594763"/>
    <n v="19884218"/>
    <n v="0.4"/>
  </r>
  <r>
    <n v="367"/>
    <x v="145"/>
    <x v="2"/>
    <n v="6"/>
    <x v="0"/>
    <n v="281"/>
    <x v="15"/>
    <x v="0"/>
    <s v="F"/>
    <x v="6"/>
    <n v="71"/>
    <n v="5798762.8571428573"/>
    <n v="8118268"/>
    <n v="8"/>
    <n v="46390102.857142858"/>
    <n v="64946144"/>
    <n v="18556041.142857142"/>
    <n v="0.39999999999999997"/>
  </r>
  <r>
    <n v="368"/>
    <x v="316"/>
    <x v="4"/>
    <n v="3"/>
    <x v="6"/>
    <n v="372"/>
    <x v="8"/>
    <x v="3"/>
    <s v="A"/>
    <x v="3"/>
    <n v="52"/>
    <n v="3567592.1428571432"/>
    <n v="4994629"/>
    <n v="1"/>
    <n v="3567592.1428571432"/>
    <n v="4994629"/>
    <n v="1427036.8571428568"/>
    <n v="0.39999999999999986"/>
  </r>
  <r>
    <n v="369"/>
    <x v="317"/>
    <x v="2"/>
    <n v="8"/>
    <x v="8"/>
    <n v="495"/>
    <x v="0"/>
    <x v="0"/>
    <s v="B"/>
    <x v="2"/>
    <n v="87"/>
    <n v="1468594.2857142859"/>
    <n v="2056032"/>
    <n v="3"/>
    <n v="4405782.8571428582"/>
    <n v="6168096"/>
    <n v="1762313.1428571418"/>
    <n v="0.39999999999999969"/>
  </r>
  <r>
    <n v="370"/>
    <x v="269"/>
    <x v="4"/>
    <n v="4"/>
    <x v="2"/>
    <n v="113"/>
    <x v="1"/>
    <x v="1"/>
    <s v="D"/>
    <x v="7"/>
    <n v="62"/>
    <n v="597479.2857142858"/>
    <n v="836471"/>
    <n v="7"/>
    <n v="4182355.0000000005"/>
    <n v="5855297"/>
    <n v="1672941.9999999995"/>
    <n v="0.39999999999999986"/>
  </r>
  <r>
    <n v="371"/>
    <x v="213"/>
    <x v="1"/>
    <n v="7"/>
    <x v="7"/>
    <n v="398"/>
    <x v="2"/>
    <x v="2"/>
    <s v="C"/>
    <x v="8"/>
    <n v="88"/>
    <n v="2175706.4285714286"/>
    <n v="3045989"/>
    <n v="4"/>
    <n v="8702825.7142857146"/>
    <n v="12183956"/>
    <n v="3481130.2857142854"/>
    <n v="0.39999999999999997"/>
  </r>
  <r>
    <n v="372"/>
    <x v="318"/>
    <x v="0"/>
    <n v="11"/>
    <x v="10"/>
    <n v="101"/>
    <x v="2"/>
    <x v="2"/>
    <s v="F"/>
    <x v="6"/>
    <n v="75"/>
    <n v="4834346.4285714291"/>
    <n v="6768085"/>
    <n v="4"/>
    <n v="19337385.714285716"/>
    <n v="27072340"/>
    <n v="7734954.2857142836"/>
    <n v="0.39999999999999986"/>
  </r>
  <r>
    <n v="373"/>
    <x v="319"/>
    <x v="0"/>
    <n v="1"/>
    <x v="5"/>
    <n v="233"/>
    <x v="2"/>
    <x v="2"/>
    <s v="D"/>
    <x v="7"/>
    <n v="57"/>
    <n v="3949896.4285714286"/>
    <n v="5529855"/>
    <n v="5"/>
    <n v="19749482.142857142"/>
    <n v="27649275"/>
    <n v="7899792.8571428582"/>
    <n v="0.40000000000000008"/>
  </r>
  <r>
    <n v="374"/>
    <x v="219"/>
    <x v="2"/>
    <n v="7"/>
    <x v="7"/>
    <n v="27"/>
    <x v="1"/>
    <x v="1"/>
    <s v="F"/>
    <x v="1"/>
    <n v="61"/>
    <n v="768992.14285714296"/>
    <n v="1076589"/>
    <n v="4"/>
    <n v="3075968.5714285718"/>
    <n v="4306356"/>
    <n v="1230387.4285714282"/>
    <n v="0.3999999999999998"/>
  </r>
  <r>
    <n v="375"/>
    <x v="320"/>
    <x v="1"/>
    <n v="5"/>
    <x v="9"/>
    <n v="322"/>
    <x v="6"/>
    <x v="3"/>
    <s v="D"/>
    <x v="5"/>
    <n v="55"/>
    <n v="6712945.7142857146"/>
    <n v="9398124"/>
    <n v="9"/>
    <n v="60416511.428571433"/>
    <n v="84583116"/>
    <n v="24166604.571428567"/>
    <n v="0.39999999999999991"/>
  </r>
  <r>
    <n v="376"/>
    <x v="101"/>
    <x v="4"/>
    <n v="6"/>
    <x v="0"/>
    <n v="198"/>
    <x v="2"/>
    <x v="2"/>
    <s v="D"/>
    <x v="0"/>
    <n v="80"/>
    <n v="5309875.7142857146"/>
    <n v="7433826"/>
    <n v="5"/>
    <n v="26549378.571428575"/>
    <n v="37169130"/>
    <n v="10619751.428571425"/>
    <n v="0.39999999999999986"/>
  </r>
  <r>
    <n v="377"/>
    <x v="321"/>
    <x v="1"/>
    <n v="7"/>
    <x v="7"/>
    <n v="407"/>
    <x v="13"/>
    <x v="3"/>
    <s v="A"/>
    <x v="1"/>
    <n v="74"/>
    <n v="1153017.8571428573"/>
    <n v="1614225"/>
    <n v="4"/>
    <n v="4612071.4285714291"/>
    <n v="6456900"/>
    <n v="1844828.5714285709"/>
    <n v="0.39999999999999986"/>
  </r>
  <r>
    <n v="378"/>
    <x v="322"/>
    <x v="4"/>
    <n v="9"/>
    <x v="3"/>
    <n v="343"/>
    <x v="7"/>
    <x v="2"/>
    <s v="D"/>
    <x v="0"/>
    <n v="94"/>
    <n v="2856117.8571428573"/>
    <n v="3998565"/>
    <n v="7"/>
    <n v="19992825"/>
    <n v="27989955"/>
    <n v="7997130"/>
    <n v="0.4"/>
  </r>
  <r>
    <n v="379"/>
    <x v="270"/>
    <x v="4"/>
    <n v="10"/>
    <x v="11"/>
    <n v="121"/>
    <x v="3"/>
    <x v="2"/>
    <s v="F"/>
    <x v="5"/>
    <n v="97"/>
    <n v="3797195.7142857146"/>
    <n v="5316074"/>
    <n v="8"/>
    <n v="30377565.714285716"/>
    <n v="42528592"/>
    <n v="12151026.285714284"/>
    <n v="0.39999999999999991"/>
  </r>
  <r>
    <n v="380"/>
    <x v="323"/>
    <x v="1"/>
    <n v="4"/>
    <x v="2"/>
    <n v="318"/>
    <x v="4"/>
    <x v="3"/>
    <s v="B"/>
    <x v="2"/>
    <n v="72"/>
    <n v="4379132.8571428573"/>
    <n v="6130786"/>
    <n v="10"/>
    <n v="43791328.571428575"/>
    <n v="61307860"/>
    <n v="17516531.428571425"/>
    <n v="0.39999999999999991"/>
  </r>
  <r>
    <n v="381"/>
    <x v="324"/>
    <x v="1"/>
    <n v="10"/>
    <x v="11"/>
    <n v="239"/>
    <x v="6"/>
    <x v="3"/>
    <s v="E"/>
    <x v="5"/>
    <n v="96"/>
    <n v="6285676.4285714291"/>
    <n v="8799947"/>
    <n v="6"/>
    <n v="37714058.571428575"/>
    <n v="52799682"/>
    <n v="15085623.428571425"/>
    <n v="0.39999999999999986"/>
  </r>
  <r>
    <n v="382"/>
    <x v="325"/>
    <x v="1"/>
    <n v="8"/>
    <x v="8"/>
    <n v="366"/>
    <x v="8"/>
    <x v="3"/>
    <s v="E"/>
    <x v="8"/>
    <n v="97"/>
    <n v="1506325"/>
    <n v="2108855"/>
    <n v="9"/>
    <n v="13556925"/>
    <n v="18979695"/>
    <n v="5422770"/>
    <n v="0.4"/>
  </r>
  <r>
    <n v="383"/>
    <x v="95"/>
    <x v="1"/>
    <n v="10"/>
    <x v="11"/>
    <n v="55"/>
    <x v="0"/>
    <x v="0"/>
    <s v="D"/>
    <x v="4"/>
    <n v="79"/>
    <n v="4560374.2857142864"/>
    <n v="6384524"/>
    <n v="4"/>
    <n v="18241497.142857146"/>
    <n v="25538096"/>
    <n v="7296598.8571428545"/>
    <n v="0.3999999999999998"/>
  </r>
  <r>
    <n v="384"/>
    <x v="326"/>
    <x v="0"/>
    <n v="5"/>
    <x v="9"/>
    <n v="194"/>
    <x v="3"/>
    <x v="2"/>
    <s v="F"/>
    <x v="8"/>
    <n v="61"/>
    <n v="3133780"/>
    <n v="4387292"/>
    <n v="2"/>
    <n v="6267560"/>
    <n v="8774584"/>
    <n v="2507024"/>
    <n v="0.4"/>
  </r>
  <r>
    <n v="385"/>
    <x v="327"/>
    <x v="1"/>
    <n v="2"/>
    <x v="1"/>
    <n v="256"/>
    <x v="13"/>
    <x v="3"/>
    <s v="A"/>
    <x v="6"/>
    <n v="93"/>
    <n v="1114170.7142857143"/>
    <n v="1559839"/>
    <n v="8"/>
    <n v="8913365.7142857146"/>
    <n v="12478712"/>
    <n v="3565346.2857142854"/>
    <n v="0.39999999999999997"/>
  </r>
  <r>
    <n v="386"/>
    <x v="328"/>
    <x v="2"/>
    <n v="11"/>
    <x v="10"/>
    <n v="115"/>
    <x v="2"/>
    <x v="2"/>
    <s v="A"/>
    <x v="6"/>
    <n v="100"/>
    <n v="3622711.4285714286"/>
    <n v="5071796"/>
    <n v="7"/>
    <n v="25358980"/>
    <n v="35502572"/>
    <n v="10143592"/>
    <n v="0.4"/>
  </r>
  <r>
    <n v="387"/>
    <x v="329"/>
    <x v="4"/>
    <n v="12"/>
    <x v="4"/>
    <n v="289"/>
    <x v="6"/>
    <x v="3"/>
    <s v="A"/>
    <x v="0"/>
    <n v="70"/>
    <n v="5885870"/>
    <n v="8240218"/>
    <n v="9"/>
    <n v="52972830"/>
    <n v="74161962"/>
    <n v="21189132"/>
    <n v="0.4"/>
  </r>
  <r>
    <n v="388"/>
    <x v="330"/>
    <x v="1"/>
    <n v="8"/>
    <x v="8"/>
    <n v="338"/>
    <x v="10"/>
    <x v="1"/>
    <s v="A"/>
    <x v="3"/>
    <n v="90"/>
    <n v="3629249.2857142859"/>
    <n v="5080949"/>
    <n v="10"/>
    <n v="36292492.857142858"/>
    <n v="50809490"/>
    <n v="14516997.142857142"/>
    <n v="0.39999999999999997"/>
  </r>
  <r>
    <n v="389"/>
    <x v="331"/>
    <x v="3"/>
    <n v="1"/>
    <x v="5"/>
    <n v="106"/>
    <x v="15"/>
    <x v="0"/>
    <s v="E"/>
    <x v="6"/>
    <n v="61"/>
    <n v="485207.1428571429"/>
    <n v="679290"/>
    <n v="9"/>
    <n v="4366864.2857142864"/>
    <n v="6113610"/>
    <n v="1746745.7142857136"/>
    <n v="0.3999999999999998"/>
  </r>
  <r>
    <n v="390"/>
    <x v="332"/>
    <x v="2"/>
    <n v="11"/>
    <x v="10"/>
    <n v="277"/>
    <x v="17"/>
    <x v="1"/>
    <s v="E"/>
    <x v="4"/>
    <n v="58"/>
    <n v="2401090.7142857146"/>
    <n v="3361527"/>
    <n v="1"/>
    <n v="2401090.7142857146"/>
    <n v="3361527"/>
    <n v="960436.28571428545"/>
    <n v="0.39999999999999986"/>
  </r>
  <r>
    <n v="391"/>
    <x v="333"/>
    <x v="0"/>
    <n v="11"/>
    <x v="10"/>
    <n v="127"/>
    <x v="19"/>
    <x v="4"/>
    <s v="C"/>
    <x v="3"/>
    <n v="93"/>
    <n v="982673.57142857148"/>
    <n v="1375743"/>
    <n v="4"/>
    <n v="3930694.2857142859"/>
    <n v="5502972"/>
    <n v="1572277.7142857141"/>
    <n v="0.39999999999999991"/>
  </r>
  <r>
    <n v="392"/>
    <x v="334"/>
    <x v="2"/>
    <n v="12"/>
    <x v="4"/>
    <n v="229"/>
    <x v="9"/>
    <x v="0"/>
    <s v="D"/>
    <x v="3"/>
    <n v="56"/>
    <n v="6143120"/>
    <n v="8600368"/>
    <n v="7"/>
    <n v="43001840"/>
    <n v="60202576"/>
    <n v="17200736"/>
    <n v="0.4"/>
  </r>
  <r>
    <n v="393"/>
    <x v="127"/>
    <x v="3"/>
    <n v="1"/>
    <x v="5"/>
    <n v="12"/>
    <x v="4"/>
    <x v="3"/>
    <s v="F"/>
    <x v="1"/>
    <n v="82"/>
    <n v="3857102.8571428573"/>
    <n v="5399944"/>
    <n v="9"/>
    <n v="34713925.714285716"/>
    <n v="48599496"/>
    <n v="13885570.285714284"/>
    <n v="0.39999999999999991"/>
  </r>
  <r>
    <n v="394"/>
    <x v="266"/>
    <x v="4"/>
    <n v="11"/>
    <x v="10"/>
    <n v="454"/>
    <x v="1"/>
    <x v="1"/>
    <s v="F"/>
    <x v="8"/>
    <n v="100"/>
    <n v="5106624.2857142864"/>
    <n v="7149274"/>
    <n v="4"/>
    <n v="20426497.142857146"/>
    <n v="28597096"/>
    <n v="8170598.8571428545"/>
    <n v="0.3999999999999998"/>
  </r>
  <r>
    <n v="395"/>
    <x v="335"/>
    <x v="2"/>
    <n v="5"/>
    <x v="9"/>
    <n v="146"/>
    <x v="13"/>
    <x v="3"/>
    <s v="A"/>
    <x v="7"/>
    <n v="93"/>
    <n v="409972.1428571429"/>
    <n v="573961"/>
    <n v="2"/>
    <n v="819944.2857142858"/>
    <n v="1147922"/>
    <n v="327977.7142857142"/>
    <n v="0.39999999999999986"/>
  </r>
  <r>
    <n v="396"/>
    <x v="336"/>
    <x v="4"/>
    <n v="5"/>
    <x v="9"/>
    <n v="258"/>
    <x v="15"/>
    <x v="0"/>
    <s v="B"/>
    <x v="4"/>
    <n v="93"/>
    <n v="5559862.1428571437"/>
    <n v="7783807"/>
    <n v="8"/>
    <n v="44478897.142857149"/>
    <n v="62270456"/>
    <n v="17791558.857142851"/>
    <n v="0.3999999999999998"/>
  </r>
  <r>
    <n v="397"/>
    <x v="337"/>
    <x v="2"/>
    <n v="8"/>
    <x v="8"/>
    <n v="159"/>
    <x v="7"/>
    <x v="2"/>
    <s v="D"/>
    <x v="8"/>
    <n v="86"/>
    <n v="292470.71428571432"/>
    <n v="409459"/>
    <n v="1"/>
    <n v="292470.71428571432"/>
    <n v="409459"/>
    <n v="116988.28571428568"/>
    <n v="0.39999999999999986"/>
  </r>
  <r>
    <n v="398"/>
    <x v="338"/>
    <x v="4"/>
    <n v="7"/>
    <x v="7"/>
    <n v="140"/>
    <x v="18"/>
    <x v="2"/>
    <s v="B"/>
    <x v="4"/>
    <n v="77"/>
    <n v="565109.2857142858"/>
    <n v="791153"/>
    <n v="3"/>
    <n v="1695327.8571428573"/>
    <n v="2373459"/>
    <n v="678131.14285714272"/>
    <n v="0.39999999999999991"/>
  </r>
  <r>
    <n v="399"/>
    <x v="195"/>
    <x v="1"/>
    <n v="2"/>
    <x v="1"/>
    <n v="22"/>
    <x v="4"/>
    <x v="3"/>
    <s v="B"/>
    <x v="0"/>
    <n v="84"/>
    <n v="4666142.1428571427"/>
    <n v="6532599"/>
    <n v="8"/>
    <n v="37329137.142857142"/>
    <n v="52260792"/>
    <n v="14931654.857142858"/>
    <n v="0.4"/>
  </r>
  <r>
    <n v="400"/>
    <x v="339"/>
    <x v="1"/>
    <n v="1"/>
    <x v="5"/>
    <n v="459"/>
    <x v="10"/>
    <x v="1"/>
    <s v="A"/>
    <x v="7"/>
    <n v="95"/>
    <n v="5171417.1428571427"/>
    <n v="7239984"/>
    <n v="5"/>
    <n v="25857085.714285713"/>
    <n v="36199920"/>
    <n v="10342834.285714287"/>
    <n v="0.40000000000000008"/>
  </r>
  <r>
    <n v="401"/>
    <x v="203"/>
    <x v="1"/>
    <n v="8"/>
    <x v="8"/>
    <n v="98"/>
    <x v="17"/>
    <x v="1"/>
    <s v="F"/>
    <x v="2"/>
    <n v="89"/>
    <n v="5229082.8571428573"/>
    <n v="7320716"/>
    <n v="10"/>
    <n v="52290828.571428575"/>
    <n v="73207160"/>
    <n v="20916331.428571425"/>
    <n v="0.39999999999999991"/>
  </r>
  <r>
    <n v="402"/>
    <x v="340"/>
    <x v="1"/>
    <n v="9"/>
    <x v="3"/>
    <n v="14"/>
    <x v="11"/>
    <x v="1"/>
    <s v="A"/>
    <x v="3"/>
    <n v="56"/>
    <n v="3606753.5714285718"/>
    <n v="5049455"/>
    <n v="4"/>
    <n v="14427014.285714287"/>
    <n v="20197820"/>
    <n v="5770805.7142857127"/>
    <n v="0.39999999999999986"/>
  </r>
  <r>
    <n v="403"/>
    <x v="341"/>
    <x v="4"/>
    <n v="6"/>
    <x v="0"/>
    <n v="330"/>
    <x v="14"/>
    <x v="4"/>
    <s v="A"/>
    <x v="2"/>
    <n v="63"/>
    <n v="6832379.2857142864"/>
    <n v="9565331"/>
    <n v="5"/>
    <n v="34161896.428571433"/>
    <n v="47826655"/>
    <n v="13664758.571428567"/>
    <n v="0.3999999999999998"/>
  </r>
  <r>
    <n v="404"/>
    <x v="78"/>
    <x v="4"/>
    <n v="2"/>
    <x v="1"/>
    <n v="90"/>
    <x v="5"/>
    <x v="0"/>
    <s v="E"/>
    <x v="0"/>
    <n v="58"/>
    <n v="3965855.7142857146"/>
    <n v="5552198"/>
    <n v="7"/>
    <n v="27760990"/>
    <n v="38865386"/>
    <n v="11104396"/>
    <n v="0.4"/>
  </r>
  <r>
    <n v="405"/>
    <x v="342"/>
    <x v="4"/>
    <n v="5"/>
    <x v="9"/>
    <n v="350"/>
    <x v="0"/>
    <x v="0"/>
    <s v="F"/>
    <x v="6"/>
    <n v="83"/>
    <n v="4390656.4285714291"/>
    <n v="6146919"/>
    <n v="10"/>
    <n v="43906564.285714291"/>
    <n v="61469190"/>
    <n v="17562625.714285709"/>
    <n v="0.39999999999999986"/>
  </r>
  <r>
    <n v="406"/>
    <x v="135"/>
    <x v="2"/>
    <n v="6"/>
    <x v="0"/>
    <n v="258"/>
    <x v="9"/>
    <x v="0"/>
    <s v="C"/>
    <x v="8"/>
    <n v="72"/>
    <n v="6561309.2857142864"/>
    <n v="9185833"/>
    <n v="1"/>
    <n v="6561309.2857142864"/>
    <n v="9185833"/>
    <n v="2624523.7142857136"/>
    <n v="0.39999999999999986"/>
  </r>
  <r>
    <n v="407"/>
    <x v="343"/>
    <x v="1"/>
    <n v="9"/>
    <x v="3"/>
    <n v="381"/>
    <x v="16"/>
    <x v="4"/>
    <s v="F"/>
    <x v="1"/>
    <n v="80"/>
    <n v="2510342.1428571432"/>
    <n v="3514479"/>
    <n v="2"/>
    <n v="5020684.2857142864"/>
    <n v="7028958"/>
    <n v="2008273.7142857136"/>
    <n v="0.3999999999999998"/>
  </r>
  <r>
    <n v="408"/>
    <x v="46"/>
    <x v="4"/>
    <n v="11"/>
    <x v="10"/>
    <n v="447"/>
    <x v="14"/>
    <x v="4"/>
    <s v="A"/>
    <x v="4"/>
    <n v="97"/>
    <n v="7010165"/>
    <n v="9814231"/>
    <n v="2"/>
    <n v="14020330"/>
    <n v="19628462"/>
    <n v="5608132"/>
    <n v="0.4"/>
  </r>
  <r>
    <n v="409"/>
    <x v="344"/>
    <x v="0"/>
    <n v="8"/>
    <x v="8"/>
    <n v="79"/>
    <x v="13"/>
    <x v="3"/>
    <s v="A"/>
    <x v="2"/>
    <n v="82"/>
    <n v="655435.71428571432"/>
    <n v="917610"/>
    <n v="1"/>
    <n v="655435.71428571432"/>
    <n v="917610"/>
    <n v="262174.28571428568"/>
    <n v="0.39999999999999991"/>
  </r>
  <r>
    <n v="410"/>
    <x v="193"/>
    <x v="2"/>
    <n v="7"/>
    <x v="7"/>
    <n v="431"/>
    <x v="2"/>
    <x v="2"/>
    <s v="C"/>
    <x v="6"/>
    <n v="87"/>
    <n v="5434692.1428571437"/>
    <n v="7608569"/>
    <n v="7"/>
    <n v="38042845.000000007"/>
    <n v="53259983"/>
    <n v="15217137.999999993"/>
    <n v="0.39999999999999974"/>
  </r>
  <r>
    <n v="411"/>
    <x v="345"/>
    <x v="0"/>
    <n v="11"/>
    <x v="10"/>
    <n v="234"/>
    <x v="2"/>
    <x v="2"/>
    <s v="F"/>
    <x v="3"/>
    <n v="83"/>
    <n v="4299124.2857142864"/>
    <n v="6018774"/>
    <n v="10"/>
    <n v="42991242.857142866"/>
    <n v="60187740"/>
    <n v="17196497.142857134"/>
    <n v="0.39999999999999974"/>
  </r>
  <r>
    <n v="412"/>
    <x v="346"/>
    <x v="4"/>
    <n v="12"/>
    <x v="4"/>
    <n v="177"/>
    <x v="4"/>
    <x v="3"/>
    <s v="C"/>
    <x v="1"/>
    <n v="78"/>
    <n v="5211931.4285714291"/>
    <n v="7296704"/>
    <n v="8"/>
    <n v="41695451.428571433"/>
    <n v="58373632"/>
    <n v="16678180.571428567"/>
    <n v="0.39999999999999986"/>
  </r>
  <r>
    <n v="413"/>
    <x v="347"/>
    <x v="1"/>
    <n v="7"/>
    <x v="7"/>
    <n v="122"/>
    <x v="0"/>
    <x v="0"/>
    <s v="A"/>
    <x v="3"/>
    <n v="68"/>
    <n v="7009847.1428571437"/>
    <n v="9813786"/>
    <n v="9"/>
    <n v="63088624.285714291"/>
    <n v="88324074"/>
    <n v="25235449.714285709"/>
    <n v="0.39999999999999986"/>
  </r>
  <r>
    <n v="414"/>
    <x v="7"/>
    <x v="2"/>
    <n v="12"/>
    <x v="4"/>
    <n v="144"/>
    <x v="1"/>
    <x v="1"/>
    <s v="A"/>
    <x v="2"/>
    <n v="61"/>
    <n v="4029690.7142857146"/>
    <n v="5641567"/>
    <n v="5"/>
    <n v="20148453.571428575"/>
    <n v="28207835"/>
    <n v="8059381.4285714254"/>
    <n v="0.3999999999999998"/>
  </r>
  <r>
    <n v="415"/>
    <x v="348"/>
    <x v="1"/>
    <n v="2"/>
    <x v="1"/>
    <n v="147"/>
    <x v="17"/>
    <x v="1"/>
    <s v="F"/>
    <x v="6"/>
    <n v="74"/>
    <n v="4203335"/>
    <n v="5884669"/>
    <n v="10"/>
    <n v="42033350"/>
    <n v="58846690"/>
    <n v="16813340"/>
    <n v="0.4"/>
  </r>
  <r>
    <n v="416"/>
    <x v="349"/>
    <x v="0"/>
    <n v="9"/>
    <x v="3"/>
    <n v="104"/>
    <x v="9"/>
    <x v="0"/>
    <s v="B"/>
    <x v="6"/>
    <n v="83"/>
    <n v="3290242.1428571432"/>
    <n v="4606339"/>
    <n v="6"/>
    <n v="19741452.857142858"/>
    <n v="27638034"/>
    <n v="7896581.1428571418"/>
    <n v="0.39999999999999991"/>
  </r>
  <r>
    <n v="417"/>
    <x v="350"/>
    <x v="3"/>
    <n v="3"/>
    <x v="6"/>
    <n v="356"/>
    <x v="8"/>
    <x v="3"/>
    <s v="B"/>
    <x v="6"/>
    <n v="55"/>
    <n v="2681214.2857142859"/>
    <n v="3753700"/>
    <n v="9"/>
    <n v="24130928.571428575"/>
    <n v="33783300"/>
    <n v="9652371.4285714254"/>
    <n v="0.3999999999999998"/>
  </r>
  <r>
    <n v="418"/>
    <x v="351"/>
    <x v="1"/>
    <n v="7"/>
    <x v="7"/>
    <n v="376"/>
    <x v="14"/>
    <x v="4"/>
    <s v="E"/>
    <x v="6"/>
    <n v="90"/>
    <n v="5519832.8571428573"/>
    <n v="7727766"/>
    <n v="2"/>
    <n v="11039665.714285715"/>
    <n v="15455532"/>
    <n v="4415866.2857142854"/>
    <n v="0.39999999999999997"/>
  </r>
  <r>
    <n v="419"/>
    <x v="352"/>
    <x v="3"/>
    <n v="3"/>
    <x v="6"/>
    <n v="5"/>
    <x v="16"/>
    <x v="4"/>
    <s v="C"/>
    <x v="6"/>
    <n v="55"/>
    <n v="1822206.4285714286"/>
    <n v="2551089"/>
    <n v="8"/>
    <n v="14577651.428571429"/>
    <n v="20408712"/>
    <n v="5831060.5714285709"/>
    <n v="0.39999999999999997"/>
  </r>
  <r>
    <n v="420"/>
    <x v="353"/>
    <x v="0"/>
    <n v="1"/>
    <x v="5"/>
    <n v="43"/>
    <x v="10"/>
    <x v="1"/>
    <s v="A"/>
    <x v="4"/>
    <n v="97"/>
    <n v="297572.1428571429"/>
    <n v="416601"/>
    <n v="2"/>
    <n v="595144.2857142858"/>
    <n v="833202"/>
    <n v="238057.7142857142"/>
    <n v="0.3999999999999998"/>
  </r>
  <r>
    <n v="421"/>
    <x v="354"/>
    <x v="0"/>
    <n v="9"/>
    <x v="3"/>
    <n v="29"/>
    <x v="4"/>
    <x v="3"/>
    <s v="A"/>
    <x v="4"/>
    <n v="83"/>
    <n v="4989130"/>
    <n v="6984782"/>
    <n v="6"/>
    <n v="29934780"/>
    <n v="41908692"/>
    <n v="11973912"/>
    <n v="0.4"/>
  </r>
  <r>
    <n v="422"/>
    <x v="355"/>
    <x v="1"/>
    <n v="1"/>
    <x v="5"/>
    <n v="231"/>
    <x v="14"/>
    <x v="4"/>
    <s v="F"/>
    <x v="7"/>
    <n v="66"/>
    <n v="5830557.8571428573"/>
    <n v="8162781"/>
    <n v="7"/>
    <n v="40813905"/>
    <n v="57139467"/>
    <n v="16325562"/>
    <n v="0.4"/>
  </r>
  <r>
    <n v="423"/>
    <x v="356"/>
    <x v="1"/>
    <n v="7"/>
    <x v="7"/>
    <n v="454"/>
    <x v="16"/>
    <x v="4"/>
    <s v="B"/>
    <x v="1"/>
    <n v="53"/>
    <n v="3525887.8571428573"/>
    <n v="4936243"/>
    <n v="7"/>
    <n v="24681215"/>
    <n v="34553701"/>
    <n v="9872486"/>
    <n v="0.4"/>
  </r>
  <r>
    <n v="424"/>
    <x v="357"/>
    <x v="2"/>
    <n v="11"/>
    <x v="10"/>
    <n v="126"/>
    <x v="12"/>
    <x v="4"/>
    <s v="C"/>
    <x v="3"/>
    <n v="98"/>
    <n v="4350105.7142857146"/>
    <n v="6090148"/>
    <n v="6"/>
    <n v="26100634.285714287"/>
    <n v="36540888"/>
    <n v="10440253.714285713"/>
    <n v="0.39999999999999991"/>
  </r>
  <r>
    <n v="425"/>
    <x v="229"/>
    <x v="3"/>
    <n v="2"/>
    <x v="1"/>
    <n v="189"/>
    <x v="6"/>
    <x v="3"/>
    <s v="B"/>
    <x v="8"/>
    <n v="63"/>
    <n v="6709350"/>
    <n v="9393090"/>
    <n v="4"/>
    <n v="26837400"/>
    <n v="37572360"/>
    <n v="10734960"/>
    <n v="0.4"/>
  </r>
  <r>
    <n v="426"/>
    <x v="358"/>
    <x v="4"/>
    <n v="2"/>
    <x v="1"/>
    <n v="266"/>
    <x v="0"/>
    <x v="0"/>
    <s v="B"/>
    <x v="3"/>
    <n v="50"/>
    <n v="2324979.2857142859"/>
    <n v="3254971"/>
    <n v="6"/>
    <n v="13949875.714285716"/>
    <n v="19529826"/>
    <n v="5579950.2857142836"/>
    <n v="0.3999999999999998"/>
  </r>
  <r>
    <n v="427"/>
    <x v="359"/>
    <x v="1"/>
    <n v="5"/>
    <x v="9"/>
    <n v="372"/>
    <x v="13"/>
    <x v="3"/>
    <s v="F"/>
    <x v="3"/>
    <n v="79"/>
    <n v="1074735"/>
    <n v="1504629"/>
    <n v="8"/>
    <n v="8597880"/>
    <n v="12037032"/>
    <n v="3439152"/>
    <n v="0.4"/>
  </r>
  <r>
    <n v="428"/>
    <x v="118"/>
    <x v="1"/>
    <n v="12"/>
    <x v="4"/>
    <n v="351"/>
    <x v="2"/>
    <x v="2"/>
    <s v="F"/>
    <x v="2"/>
    <n v="88"/>
    <n v="1208276.4285714286"/>
    <n v="1691587"/>
    <n v="7"/>
    <n v="8457935"/>
    <n v="11841109"/>
    <n v="3383174"/>
    <n v="0.4"/>
  </r>
  <r>
    <n v="429"/>
    <x v="360"/>
    <x v="2"/>
    <n v="8"/>
    <x v="8"/>
    <n v="301"/>
    <x v="9"/>
    <x v="0"/>
    <s v="C"/>
    <x v="4"/>
    <n v="85"/>
    <n v="949249.2857142858"/>
    <n v="1328949"/>
    <n v="10"/>
    <n v="9492492.8571428582"/>
    <n v="13289490"/>
    <n v="3796997.1428571418"/>
    <n v="0.39999999999999986"/>
  </r>
  <r>
    <n v="430"/>
    <x v="361"/>
    <x v="4"/>
    <n v="1"/>
    <x v="5"/>
    <n v="88"/>
    <x v="14"/>
    <x v="4"/>
    <s v="F"/>
    <x v="0"/>
    <n v="56"/>
    <n v="5654200.7142857146"/>
    <n v="7915881"/>
    <n v="4"/>
    <n v="22616802.857142858"/>
    <n v="31663524"/>
    <n v="9046721.1428571418"/>
    <n v="0.39999999999999991"/>
  </r>
  <r>
    <n v="431"/>
    <x v="362"/>
    <x v="1"/>
    <n v="4"/>
    <x v="2"/>
    <n v="230"/>
    <x v="8"/>
    <x v="3"/>
    <s v="E"/>
    <x v="0"/>
    <n v="94"/>
    <n v="1606204.2857142859"/>
    <n v="2248686"/>
    <n v="4"/>
    <n v="6424817.1428571437"/>
    <n v="8994744"/>
    <n v="2569926.8571428563"/>
    <n v="0.3999999999999998"/>
  </r>
  <r>
    <n v="432"/>
    <x v="66"/>
    <x v="4"/>
    <n v="11"/>
    <x v="10"/>
    <n v="232"/>
    <x v="3"/>
    <x v="2"/>
    <s v="A"/>
    <x v="6"/>
    <n v="93"/>
    <n v="3059649.2857142859"/>
    <n v="4283509"/>
    <n v="3"/>
    <n v="9178947.8571428582"/>
    <n v="12850527"/>
    <n v="3671579.1428571418"/>
    <n v="0.39999999999999986"/>
  </r>
  <r>
    <n v="433"/>
    <x v="36"/>
    <x v="2"/>
    <n v="7"/>
    <x v="7"/>
    <n v="404"/>
    <x v="8"/>
    <x v="3"/>
    <s v="A"/>
    <x v="3"/>
    <n v="88"/>
    <n v="3462437.8571428573"/>
    <n v="4847413"/>
    <n v="1"/>
    <n v="3462437.8571428573"/>
    <n v="4847413"/>
    <n v="1384975.1428571427"/>
    <n v="0.39999999999999997"/>
  </r>
  <r>
    <n v="434"/>
    <x v="363"/>
    <x v="4"/>
    <n v="1"/>
    <x v="5"/>
    <n v="344"/>
    <x v="0"/>
    <x v="0"/>
    <s v="A"/>
    <x v="1"/>
    <n v="98"/>
    <n v="3646132.8571428573"/>
    <n v="5104586"/>
    <n v="2"/>
    <n v="7292265.7142857146"/>
    <n v="10209172"/>
    <n v="2916906.2857142854"/>
    <n v="0.39999999999999997"/>
  </r>
  <r>
    <n v="435"/>
    <x v="364"/>
    <x v="2"/>
    <n v="5"/>
    <x v="9"/>
    <n v="239"/>
    <x v="2"/>
    <x v="2"/>
    <s v="D"/>
    <x v="8"/>
    <n v="75"/>
    <n v="5527160.7142857146"/>
    <n v="7738025"/>
    <n v="4"/>
    <n v="22108642.857142858"/>
    <n v="30952100"/>
    <n v="8843457.1428571418"/>
    <n v="0.39999999999999991"/>
  </r>
  <r>
    <n v="436"/>
    <x v="365"/>
    <x v="3"/>
    <n v="3"/>
    <x v="6"/>
    <n v="400"/>
    <x v="12"/>
    <x v="4"/>
    <s v="E"/>
    <x v="4"/>
    <n v="87"/>
    <n v="4756643.5714285718"/>
    <n v="6659301"/>
    <n v="9"/>
    <n v="42809792.142857149"/>
    <n v="59933709"/>
    <n v="17123916.857142851"/>
    <n v="0.3999999999999998"/>
  </r>
  <r>
    <n v="437"/>
    <x v="366"/>
    <x v="0"/>
    <n v="10"/>
    <x v="11"/>
    <n v="428"/>
    <x v="3"/>
    <x v="2"/>
    <s v="F"/>
    <x v="8"/>
    <n v="89"/>
    <n v="2056160.0000000002"/>
    <n v="2878624"/>
    <n v="3"/>
    <n v="6168480.0000000009"/>
    <n v="8635872"/>
    <n v="2467391.9999999991"/>
    <n v="0.3999999999999998"/>
  </r>
  <r>
    <n v="438"/>
    <x v="113"/>
    <x v="0"/>
    <n v="9"/>
    <x v="3"/>
    <n v="379"/>
    <x v="1"/>
    <x v="1"/>
    <s v="F"/>
    <x v="7"/>
    <n v="93"/>
    <n v="987970.00000000012"/>
    <n v="1383158"/>
    <n v="7"/>
    <n v="6915790.0000000009"/>
    <n v="9682106"/>
    <n v="2766315.9999999991"/>
    <n v="0.3999999999999998"/>
  </r>
  <r>
    <n v="439"/>
    <x v="367"/>
    <x v="0"/>
    <n v="1"/>
    <x v="5"/>
    <n v="82"/>
    <x v="9"/>
    <x v="0"/>
    <s v="E"/>
    <x v="7"/>
    <n v="76"/>
    <n v="4490361.4285714291"/>
    <n v="6286506"/>
    <n v="7"/>
    <n v="31432530.000000004"/>
    <n v="44005542"/>
    <n v="12573011.999999996"/>
    <n v="0.39999999999999986"/>
  </r>
  <r>
    <n v="440"/>
    <x v="368"/>
    <x v="0"/>
    <n v="6"/>
    <x v="0"/>
    <n v="449"/>
    <x v="4"/>
    <x v="3"/>
    <s v="C"/>
    <x v="2"/>
    <n v="98"/>
    <n v="4335285"/>
    <n v="6069399"/>
    <n v="3"/>
    <n v="13005855"/>
    <n v="18208197"/>
    <n v="5202342"/>
    <n v="0.4"/>
  </r>
  <r>
    <n v="441"/>
    <x v="369"/>
    <x v="1"/>
    <n v="12"/>
    <x v="4"/>
    <n v="220"/>
    <x v="5"/>
    <x v="0"/>
    <s v="B"/>
    <x v="0"/>
    <n v="60"/>
    <n v="1813577.142857143"/>
    <n v="2539008"/>
    <n v="6"/>
    <n v="10881462.857142858"/>
    <n v="15234048"/>
    <n v="4352585.1428571418"/>
    <n v="0.39999999999999986"/>
  </r>
  <r>
    <n v="442"/>
    <x v="2"/>
    <x v="2"/>
    <n v="4"/>
    <x v="2"/>
    <n v="299"/>
    <x v="15"/>
    <x v="0"/>
    <s v="C"/>
    <x v="3"/>
    <n v="56"/>
    <n v="5907847.8571428573"/>
    <n v="8270987"/>
    <n v="8"/>
    <n v="47262782.857142858"/>
    <n v="66167896"/>
    <n v="18905113.142857142"/>
    <n v="0.39999999999999997"/>
  </r>
  <r>
    <n v="443"/>
    <x v="250"/>
    <x v="2"/>
    <n v="10"/>
    <x v="11"/>
    <n v="464"/>
    <x v="17"/>
    <x v="1"/>
    <s v="A"/>
    <x v="2"/>
    <n v="56"/>
    <n v="2845832.1428571432"/>
    <n v="3984165"/>
    <n v="7"/>
    <n v="19920825.000000004"/>
    <n v="27889155"/>
    <n v="7968329.9999999963"/>
    <n v="0.39999999999999974"/>
  </r>
  <r>
    <n v="444"/>
    <x v="370"/>
    <x v="3"/>
    <n v="1"/>
    <x v="5"/>
    <n v="498"/>
    <x v="18"/>
    <x v="2"/>
    <s v="D"/>
    <x v="6"/>
    <n v="66"/>
    <n v="4720047.8571428573"/>
    <n v="6608067"/>
    <n v="3"/>
    <n v="14160143.571428571"/>
    <n v="19824201"/>
    <n v="5664057.4285714291"/>
    <n v="0.40000000000000008"/>
  </r>
  <r>
    <n v="445"/>
    <x v="371"/>
    <x v="0"/>
    <n v="12"/>
    <x v="4"/>
    <n v="37"/>
    <x v="3"/>
    <x v="2"/>
    <s v="C"/>
    <x v="6"/>
    <n v="84"/>
    <n v="1564824.2857142859"/>
    <n v="2190754"/>
    <n v="10"/>
    <n v="15648242.857142858"/>
    <n v="21907540"/>
    <n v="6259297.1428571418"/>
    <n v="0.39999999999999991"/>
  </r>
  <r>
    <n v="446"/>
    <x v="372"/>
    <x v="0"/>
    <n v="1"/>
    <x v="5"/>
    <n v="273"/>
    <x v="0"/>
    <x v="0"/>
    <s v="B"/>
    <x v="1"/>
    <n v="68"/>
    <n v="1144006.4285714286"/>
    <n v="1601609"/>
    <n v="7"/>
    <n v="8008045"/>
    <n v="11211263"/>
    <n v="3203218"/>
    <n v="0.4"/>
  </r>
  <r>
    <n v="447"/>
    <x v="335"/>
    <x v="2"/>
    <n v="5"/>
    <x v="9"/>
    <n v="108"/>
    <x v="16"/>
    <x v="4"/>
    <s v="F"/>
    <x v="1"/>
    <n v="91"/>
    <n v="2816360"/>
    <n v="3942904"/>
    <n v="2"/>
    <n v="5632720"/>
    <n v="7885808"/>
    <n v="2253088"/>
    <n v="0.4"/>
  </r>
  <r>
    <n v="448"/>
    <x v="373"/>
    <x v="1"/>
    <n v="2"/>
    <x v="1"/>
    <n v="95"/>
    <x v="2"/>
    <x v="2"/>
    <s v="F"/>
    <x v="4"/>
    <n v="76"/>
    <n v="6469852.8571428573"/>
    <n v="9057794"/>
    <n v="5"/>
    <n v="32349264.285714287"/>
    <n v="45288970"/>
    <n v="12939705.714285713"/>
    <n v="0.39999999999999991"/>
  </r>
  <r>
    <n v="449"/>
    <x v="105"/>
    <x v="1"/>
    <n v="1"/>
    <x v="5"/>
    <n v="129"/>
    <x v="1"/>
    <x v="1"/>
    <s v="B"/>
    <x v="1"/>
    <n v="85"/>
    <n v="1413786.4285714286"/>
    <n v="1979301"/>
    <n v="2"/>
    <n v="2827572.8571428573"/>
    <n v="3958602"/>
    <n v="1131029.1428571427"/>
    <n v="0.39999999999999991"/>
  </r>
  <r>
    <n v="450"/>
    <x v="201"/>
    <x v="2"/>
    <n v="10"/>
    <x v="11"/>
    <n v="332"/>
    <x v="2"/>
    <x v="2"/>
    <s v="C"/>
    <x v="5"/>
    <n v="64"/>
    <n v="6594076.4285714291"/>
    <n v="9231707"/>
    <n v="8"/>
    <n v="52752611.428571433"/>
    <n v="73853656"/>
    <n v="21101044.571428567"/>
    <n v="0.39999999999999991"/>
  </r>
  <r>
    <n v="451"/>
    <x v="374"/>
    <x v="1"/>
    <n v="4"/>
    <x v="2"/>
    <n v="463"/>
    <x v="3"/>
    <x v="2"/>
    <s v="F"/>
    <x v="4"/>
    <n v="82"/>
    <n v="342124.28571428574"/>
    <n v="478974"/>
    <n v="9"/>
    <n v="3079118.5714285718"/>
    <n v="4310766"/>
    <n v="1231647.4285714282"/>
    <n v="0.3999999999999998"/>
  </r>
  <r>
    <n v="452"/>
    <x v="375"/>
    <x v="4"/>
    <n v="3"/>
    <x v="6"/>
    <n v="81"/>
    <x v="4"/>
    <x v="3"/>
    <s v="F"/>
    <x v="7"/>
    <n v="56"/>
    <n v="4526457.8571428573"/>
    <n v="6337041"/>
    <n v="10"/>
    <n v="45264578.571428575"/>
    <n v="63370410"/>
    <n v="18105831.428571425"/>
    <n v="0.39999999999999991"/>
  </r>
  <r>
    <n v="453"/>
    <x v="83"/>
    <x v="2"/>
    <n v="11"/>
    <x v="10"/>
    <n v="211"/>
    <x v="1"/>
    <x v="1"/>
    <s v="C"/>
    <x v="5"/>
    <n v="81"/>
    <n v="1693439.2857142859"/>
    <n v="2370815"/>
    <n v="6"/>
    <n v="10160635.714285716"/>
    <n v="14224890"/>
    <n v="4064254.2857142836"/>
    <n v="0.39999999999999969"/>
  </r>
  <r>
    <n v="454"/>
    <x v="352"/>
    <x v="3"/>
    <n v="3"/>
    <x v="6"/>
    <n v="329"/>
    <x v="15"/>
    <x v="0"/>
    <s v="E"/>
    <x v="6"/>
    <n v="69"/>
    <n v="4883105.7142857146"/>
    <n v="6836348"/>
    <n v="6"/>
    <n v="29298634.285714287"/>
    <n v="41018088"/>
    <n v="11719453.714285713"/>
    <n v="0.39999999999999991"/>
  </r>
  <r>
    <n v="455"/>
    <x v="340"/>
    <x v="1"/>
    <n v="9"/>
    <x v="3"/>
    <n v="117"/>
    <x v="17"/>
    <x v="1"/>
    <s v="C"/>
    <x v="1"/>
    <n v="86"/>
    <n v="3684412.8571428573"/>
    <n v="5158178"/>
    <n v="9"/>
    <n v="33159715.714285716"/>
    <n v="46423602"/>
    <n v="13263886.285714284"/>
    <n v="0.39999999999999991"/>
  </r>
  <r>
    <n v="456"/>
    <x v="314"/>
    <x v="4"/>
    <n v="9"/>
    <x v="3"/>
    <n v="386"/>
    <x v="18"/>
    <x v="2"/>
    <s v="B"/>
    <x v="7"/>
    <n v="84"/>
    <n v="4667972.1428571427"/>
    <n v="6535161"/>
    <n v="4"/>
    <n v="18671888.571428571"/>
    <n v="26140644"/>
    <n v="7468755.4285714291"/>
    <n v="0.4"/>
  </r>
  <r>
    <n v="457"/>
    <x v="237"/>
    <x v="4"/>
    <n v="2"/>
    <x v="1"/>
    <n v="394"/>
    <x v="18"/>
    <x v="2"/>
    <s v="E"/>
    <x v="8"/>
    <n v="70"/>
    <n v="3883620.7142857146"/>
    <n v="5437069"/>
    <n v="3"/>
    <n v="11650862.142857144"/>
    <n v="16311207"/>
    <n v="4660344.8571428563"/>
    <n v="0.39999999999999991"/>
  </r>
  <r>
    <n v="458"/>
    <x v="332"/>
    <x v="2"/>
    <n v="11"/>
    <x v="10"/>
    <n v="10"/>
    <x v="18"/>
    <x v="2"/>
    <s v="C"/>
    <x v="7"/>
    <n v="82"/>
    <n v="3629010"/>
    <n v="5080614"/>
    <n v="3"/>
    <n v="10887030"/>
    <n v="15241842"/>
    <n v="4354812"/>
    <n v="0.4"/>
  </r>
  <r>
    <n v="459"/>
    <x v="376"/>
    <x v="2"/>
    <n v="11"/>
    <x v="10"/>
    <n v="249"/>
    <x v="8"/>
    <x v="3"/>
    <s v="E"/>
    <x v="5"/>
    <n v="68"/>
    <n v="2100224.2857142859"/>
    <n v="2940314"/>
    <n v="10"/>
    <n v="21002242.857142858"/>
    <n v="29403140"/>
    <n v="8400897.1428571418"/>
    <n v="0.39999999999999991"/>
  </r>
  <r>
    <n v="460"/>
    <x v="377"/>
    <x v="0"/>
    <n v="8"/>
    <x v="8"/>
    <n v="345"/>
    <x v="0"/>
    <x v="0"/>
    <s v="B"/>
    <x v="7"/>
    <n v="83"/>
    <n v="2203252.8571428573"/>
    <n v="3084554"/>
    <n v="4"/>
    <n v="8813011.4285714291"/>
    <n v="12338216"/>
    <n v="3525204.5714285709"/>
    <n v="0.39999999999999991"/>
  </r>
  <r>
    <n v="461"/>
    <x v="378"/>
    <x v="0"/>
    <n v="10"/>
    <x v="11"/>
    <n v="147"/>
    <x v="1"/>
    <x v="1"/>
    <s v="C"/>
    <x v="2"/>
    <n v="79"/>
    <n v="6089719.2857142864"/>
    <n v="8525607"/>
    <n v="10"/>
    <n v="60897192.857142866"/>
    <n v="85256070"/>
    <n v="24358877.142857134"/>
    <n v="0.3999999999999998"/>
  </r>
  <r>
    <n v="462"/>
    <x v="379"/>
    <x v="4"/>
    <n v="7"/>
    <x v="7"/>
    <n v="458"/>
    <x v="6"/>
    <x v="3"/>
    <s v="E"/>
    <x v="5"/>
    <n v="95"/>
    <n v="6488012.1428571437"/>
    <n v="9083217"/>
    <n v="10"/>
    <n v="64880121.428571433"/>
    <n v="90832170"/>
    <n v="25952048.571428567"/>
    <n v="0.39999999999999991"/>
  </r>
  <r>
    <n v="463"/>
    <x v="380"/>
    <x v="4"/>
    <n v="7"/>
    <x v="7"/>
    <n v="246"/>
    <x v="6"/>
    <x v="3"/>
    <s v="C"/>
    <x v="7"/>
    <n v="60"/>
    <n v="6461500.7142857146"/>
    <n v="9046101"/>
    <n v="5"/>
    <n v="32307503.571428575"/>
    <n v="45230505"/>
    <n v="12923001.428571425"/>
    <n v="0.39999999999999986"/>
  </r>
  <r>
    <n v="464"/>
    <x v="117"/>
    <x v="0"/>
    <n v="11"/>
    <x v="10"/>
    <n v="147"/>
    <x v="12"/>
    <x v="4"/>
    <s v="B"/>
    <x v="8"/>
    <n v="65"/>
    <n v="4064784.2857142859"/>
    <n v="5690698"/>
    <n v="7"/>
    <n v="28453490"/>
    <n v="39834886"/>
    <n v="11381396"/>
    <n v="0.4"/>
  </r>
  <r>
    <n v="465"/>
    <x v="189"/>
    <x v="0"/>
    <n v="7"/>
    <x v="7"/>
    <n v="442"/>
    <x v="12"/>
    <x v="4"/>
    <s v="F"/>
    <x v="5"/>
    <n v="77"/>
    <n v="4826748.5714285718"/>
    <n v="6757448"/>
    <n v="9"/>
    <n v="43440737.142857149"/>
    <n v="60817032"/>
    <n v="17376294.857142851"/>
    <n v="0.3999999999999998"/>
  </r>
  <r>
    <n v="466"/>
    <x v="89"/>
    <x v="0"/>
    <n v="3"/>
    <x v="6"/>
    <n v="321"/>
    <x v="1"/>
    <x v="1"/>
    <s v="B"/>
    <x v="3"/>
    <n v="76"/>
    <n v="7006710.7142857146"/>
    <n v="9809395"/>
    <n v="3"/>
    <n v="21020132.142857142"/>
    <n v="29428185"/>
    <n v="8408052.8571428582"/>
    <n v="0.40000000000000008"/>
  </r>
  <r>
    <n v="467"/>
    <x v="381"/>
    <x v="4"/>
    <n v="3"/>
    <x v="6"/>
    <n v="497"/>
    <x v="2"/>
    <x v="2"/>
    <s v="A"/>
    <x v="1"/>
    <n v="73"/>
    <n v="4818789.2857142864"/>
    <n v="6746305"/>
    <n v="9"/>
    <n v="43369103.571428575"/>
    <n v="60716745"/>
    <n v="17347641.428571425"/>
    <n v="0.39999999999999991"/>
  </r>
  <r>
    <n v="468"/>
    <x v="382"/>
    <x v="1"/>
    <n v="7"/>
    <x v="7"/>
    <n v="398"/>
    <x v="11"/>
    <x v="1"/>
    <s v="A"/>
    <x v="3"/>
    <n v="95"/>
    <n v="4865205"/>
    <n v="6811287"/>
    <n v="2"/>
    <n v="9730410"/>
    <n v="13622574"/>
    <n v="3892164"/>
    <n v="0.4"/>
  </r>
  <r>
    <n v="469"/>
    <x v="383"/>
    <x v="0"/>
    <n v="7"/>
    <x v="7"/>
    <n v="281"/>
    <x v="10"/>
    <x v="1"/>
    <s v="C"/>
    <x v="5"/>
    <n v="58"/>
    <n v="7005365.7142857146"/>
    <n v="9807512"/>
    <n v="2"/>
    <n v="14010731.428571429"/>
    <n v="19615024"/>
    <n v="5604292.5714285709"/>
    <n v="0.39999999999999997"/>
  </r>
  <r>
    <n v="470"/>
    <x v="384"/>
    <x v="1"/>
    <n v="1"/>
    <x v="5"/>
    <n v="401"/>
    <x v="8"/>
    <x v="3"/>
    <s v="F"/>
    <x v="3"/>
    <n v="99"/>
    <n v="3170291.4285714286"/>
    <n v="4438408"/>
    <n v="1"/>
    <n v="3170291.4285714286"/>
    <n v="4438408"/>
    <n v="1268116.5714285714"/>
    <n v="0.39999999999999997"/>
  </r>
  <r>
    <n v="471"/>
    <x v="385"/>
    <x v="2"/>
    <n v="10"/>
    <x v="11"/>
    <n v="103"/>
    <x v="15"/>
    <x v="0"/>
    <s v="C"/>
    <x v="3"/>
    <n v="77"/>
    <n v="6934015.7142857146"/>
    <n v="9707622"/>
    <n v="8"/>
    <n v="55472125.714285716"/>
    <n v="77660976"/>
    <n v="22188850.285714284"/>
    <n v="0.39999999999999997"/>
  </r>
  <r>
    <n v="472"/>
    <x v="151"/>
    <x v="2"/>
    <n v="9"/>
    <x v="3"/>
    <n v="31"/>
    <x v="18"/>
    <x v="2"/>
    <s v="F"/>
    <x v="0"/>
    <n v="84"/>
    <n v="6345124.2857142864"/>
    <n v="8883174"/>
    <n v="4"/>
    <n v="25380497.142857146"/>
    <n v="35532696"/>
    <n v="10152198.857142854"/>
    <n v="0.39999999999999986"/>
  </r>
  <r>
    <n v="473"/>
    <x v="386"/>
    <x v="1"/>
    <n v="1"/>
    <x v="5"/>
    <n v="323"/>
    <x v="17"/>
    <x v="1"/>
    <s v="C"/>
    <x v="6"/>
    <n v="93"/>
    <n v="464088.57142857148"/>
    <n v="649724"/>
    <n v="6"/>
    <n v="2784531.4285714291"/>
    <n v="3898344"/>
    <n v="1113812.5714285709"/>
    <n v="0.39999999999999974"/>
  </r>
  <r>
    <n v="474"/>
    <x v="84"/>
    <x v="0"/>
    <n v="5"/>
    <x v="9"/>
    <n v="41"/>
    <x v="18"/>
    <x v="2"/>
    <s v="A"/>
    <x v="2"/>
    <n v="81"/>
    <n v="6151740"/>
    <n v="8612436"/>
    <n v="8"/>
    <n v="49213920"/>
    <n v="68899488"/>
    <n v="19685568"/>
    <n v="0.4"/>
  </r>
  <r>
    <n v="475"/>
    <x v="377"/>
    <x v="0"/>
    <n v="8"/>
    <x v="8"/>
    <n v="237"/>
    <x v="19"/>
    <x v="4"/>
    <s v="F"/>
    <x v="7"/>
    <n v="82"/>
    <n v="1206285"/>
    <n v="1688799"/>
    <n v="10"/>
    <n v="12062850"/>
    <n v="16887990"/>
    <n v="4825140"/>
    <n v="0.4"/>
  </r>
  <r>
    <n v="476"/>
    <x v="387"/>
    <x v="4"/>
    <n v="10"/>
    <x v="11"/>
    <n v="327"/>
    <x v="15"/>
    <x v="0"/>
    <s v="C"/>
    <x v="4"/>
    <n v="87"/>
    <n v="2827375"/>
    <n v="3958325"/>
    <n v="5"/>
    <n v="14136875"/>
    <n v="19791625"/>
    <n v="5654750"/>
    <n v="0.4"/>
  </r>
  <r>
    <n v="477"/>
    <x v="366"/>
    <x v="0"/>
    <n v="10"/>
    <x v="11"/>
    <n v="478"/>
    <x v="4"/>
    <x v="3"/>
    <s v="D"/>
    <x v="8"/>
    <n v="73"/>
    <n v="3797895.7142857146"/>
    <n v="5317054"/>
    <n v="2"/>
    <n v="7595791.4285714291"/>
    <n v="10634108"/>
    <n v="3038316.5714285709"/>
    <n v="0.39999999999999991"/>
  </r>
  <r>
    <n v="478"/>
    <x v="388"/>
    <x v="4"/>
    <n v="11"/>
    <x v="10"/>
    <n v="78"/>
    <x v="15"/>
    <x v="0"/>
    <s v="F"/>
    <x v="7"/>
    <n v="60"/>
    <n v="5414513.5714285718"/>
    <n v="7580319"/>
    <n v="6"/>
    <n v="32487081.428571433"/>
    <n v="45481914"/>
    <n v="12994832.571428567"/>
    <n v="0.3999999999999998"/>
  </r>
  <r>
    <n v="479"/>
    <x v="389"/>
    <x v="4"/>
    <n v="6"/>
    <x v="0"/>
    <n v="377"/>
    <x v="12"/>
    <x v="4"/>
    <s v="B"/>
    <x v="3"/>
    <n v="65"/>
    <n v="3591863.5714285718"/>
    <n v="5028609"/>
    <n v="2"/>
    <n v="7183727.1428571437"/>
    <n v="10057218"/>
    <n v="2873490.8571428563"/>
    <n v="0.39999999999999986"/>
  </r>
  <r>
    <n v="480"/>
    <x v="242"/>
    <x v="4"/>
    <n v="3"/>
    <x v="6"/>
    <n v="295"/>
    <x v="17"/>
    <x v="1"/>
    <s v="E"/>
    <x v="1"/>
    <n v="76"/>
    <n v="7023373.5714285718"/>
    <n v="9832723"/>
    <n v="10"/>
    <n v="70233735.714285716"/>
    <n v="98327230"/>
    <n v="28093494.285714284"/>
    <n v="0.39999999999999997"/>
  </r>
  <r>
    <n v="481"/>
    <x v="390"/>
    <x v="1"/>
    <n v="6"/>
    <x v="0"/>
    <n v="344"/>
    <x v="8"/>
    <x v="3"/>
    <s v="D"/>
    <x v="7"/>
    <n v="79"/>
    <n v="2997565"/>
    <n v="4196591"/>
    <n v="6"/>
    <n v="17985390"/>
    <n v="25179546"/>
    <n v="7194156"/>
    <n v="0.4"/>
  </r>
  <r>
    <n v="482"/>
    <x v="391"/>
    <x v="1"/>
    <n v="6"/>
    <x v="0"/>
    <n v="177"/>
    <x v="17"/>
    <x v="1"/>
    <s v="F"/>
    <x v="6"/>
    <n v="96"/>
    <n v="2577477.1428571432"/>
    <n v="3608468"/>
    <n v="5"/>
    <n v="12887385.714285716"/>
    <n v="18042340"/>
    <n v="5154954.2857142836"/>
    <n v="0.39999999999999974"/>
  </r>
  <r>
    <n v="483"/>
    <x v="392"/>
    <x v="2"/>
    <n v="9"/>
    <x v="3"/>
    <n v="90"/>
    <x v="15"/>
    <x v="0"/>
    <s v="D"/>
    <x v="3"/>
    <n v="100"/>
    <n v="3605815.7142857146"/>
    <n v="5048142"/>
    <n v="8"/>
    <n v="28846525.714285716"/>
    <n v="40385136"/>
    <n v="11538610.285714284"/>
    <n v="0.39999999999999991"/>
  </r>
  <r>
    <n v="484"/>
    <x v="325"/>
    <x v="1"/>
    <n v="8"/>
    <x v="8"/>
    <n v="215"/>
    <x v="6"/>
    <x v="3"/>
    <s v="C"/>
    <x v="5"/>
    <n v="98"/>
    <n v="6959200.7142857146"/>
    <n v="9742881"/>
    <n v="3"/>
    <n v="20877602.142857142"/>
    <n v="29228643"/>
    <n v="8351040.8571428582"/>
    <n v="0.40000000000000008"/>
  </r>
  <r>
    <n v="485"/>
    <x v="393"/>
    <x v="0"/>
    <n v="12"/>
    <x v="4"/>
    <n v="358"/>
    <x v="13"/>
    <x v="3"/>
    <s v="D"/>
    <x v="2"/>
    <n v="60"/>
    <n v="1359841.4285714286"/>
    <n v="1903778"/>
    <n v="4"/>
    <n v="5439365.7142857146"/>
    <n v="7615112"/>
    <n v="2175746.2857142854"/>
    <n v="0.39999999999999991"/>
  </r>
  <r>
    <n v="486"/>
    <x v="394"/>
    <x v="2"/>
    <n v="12"/>
    <x v="4"/>
    <n v="168"/>
    <x v="8"/>
    <x v="3"/>
    <s v="A"/>
    <x v="6"/>
    <n v="51"/>
    <n v="1579973.5714285716"/>
    <n v="2211963"/>
    <n v="9"/>
    <n v="14219762.142857144"/>
    <n v="19907667"/>
    <n v="5687904.8571428563"/>
    <n v="0.39999999999999991"/>
  </r>
  <r>
    <n v="487"/>
    <x v="395"/>
    <x v="4"/>
    <n v="12"/>
    <x v="4"/>
    <n v="380"/>
    <x v="17"/>
    <x v="1"/>
    <s v="A"/>
    <x v="0"/>
    <n v="82"/>
    <n v="1223981.4285714286"/>
    <n v="1713574"/>
    <n v="9"/>
    <n v="11015832.857142858"/>
    <n v="15422166"/>
    <n v="4406333.1428571418"/>
    <n v="0.39999999999999986"/>
  </r>
  <r>
    <n v="488"/>
    <x v="396"/>
    <x v="1"/>
    <n v="5"/>
    <x v="9"/>
    <n v="333"/>
    <x v="15"/>
    <x v="0"/>
    <s v="F"/>
    <x v="0"/>
    <n v="50"/>
    <n v="6063521.4285714291"/>
    <n v="8488930"/>
    <n v="10"/>
    <n v="60635214.285714291"/>
    <n v="84889300"/>
    <n v="24254085.714285709"/>
    <n v="0.39999999999999986"/>
  </r>
  <r>
    <n v="489"/>
    <x v="386"/>
    <x v="1"/>
    <n v="1"/>
    <x v="5"/>
    <n v="224"/>
    <x v="19"/>
    <x v="4"/>
    <s v="E"/>
    <x v="2"/>
    <n v="58"/>
    <n v="423720.71428571432"/>
    <n v="593209"/>
    <n v="5"/>
    <n v="2118603.5714285718"/>
    <n v="2966045"/>
    <n v="847441.42857142817"/>
    <n v="0.39999999999999974"/>
  </r>
  <r>
    <n v="490"/>
    <x v="268"/>
    <x v="0"/>
    <n v="7"/>
    <x v="7"/>
    <n v="12"/>
    <x v="18"/>
    <x v="2"/>
    <s v="E"/>
    <x v="4"/>
    <n v="82"/>
    <n v="2953957.8571428573"/>
    <n v="4135541"/>
    <n v="2"/>
    <n v="5907915.7142857146"/>
    <n v="8271082"/>
    <n v="2363166.2857142854"/>
    <n v="0.39999999999999991"/>
  </r>
  <r>
    <n v="491"/>
    <x v="397"/>
    <x v="1"/>
    <n v="5"/>
    <x v="9"/>
    <n v="44"/>
    <x v="12"/>
    <x v="4"/>
    <s v="E"/>
    <x v="4"/>
    <n v="100"/>
    <n v="4050908.5714285718"/>
    <n v="5671272"/>
    <n v="9"/>
    <n v="36458177.142857149"/>
    <n v="51041448"/>
    <n v="14583270.857142851"/>
    <n v="0.39999999999999974"/>
  </r>
  <r>
    <n v="492"/>
    <x v="398"/>
    <x v="0"/>
    <n v="4"/>
    <x v="2"/>
    <n v="153"/>
    <x v="6"/>
    <x v="3"/>
    <s v="B"/>
    <x v="7"/>
    <n v="61"/>
    <n v="6600784.2857142864"/>
    <n v="9241098"/>
    <n v="4"/>
    <n v="26403137.142857146"/>
    <n v="36964392"/>
    <n v="10561254.857142854"/>
    <n v="0.39999999999999986"/>
  </r>
  <r>
    <n v="493"/>
    <x v="399"/>
    <x v="2"/>
    <n v="7"/>
    <x v="7"/>
    <n v="86"/>
    <x v="17"/>
    <x v="1"/>
    <s v="C"/>
    <x v="3"/>
    <n v="99"/>
    <n v="1883720.7142857143"/>
    <n v="2637209"/>
    <n v="9"/>
    <n v="16953486.428571429"/>
    <n v="23734881"/>
    <n v="6781394.5714285709"/>
    <n v="0.39999999999999997"/>
  </r>
  <r>
    <n v="494"/>
    <x v="400"/>
    <x v="2"/>
    <n v="8"/>
    <x v="8"/>
    <n v="423"/>
    <x v="13"/>
    <x v="3"/>
    <s v="C"/>
    <x v="2"/>
    <n v="60"/>
    <n v="1261653.5714285716"/>
    <n v="1766315"/>
    <n v="8"/>
    <n v="10093228.571428573"/>
    <n v="14130520"/>
    <n v="4037291.4285714272"/>
    <n v="0.3999999999999998"/>
  </r>
  <r>
    <n v="495"/>
    <x v="401"/>
    <x v="4"/>
    <n v="5"/>
    <x v="9"/>
    <n v="120"/>
    <x v="18"/>
    <x v="2"/>
    <s v="C"/>
    <x v="2"/>
    <n v="89"/>
    <n v="1561860"/>
    <n v="2186604"/>
    <n v="2"/>
    <n v="3123720"/>
    <n v="4373208"/>
    <n v="1249488"/>
    <n v="0.4"/>
  </r>
  <r>
    <n v="496"/>
    <x v="402"/>
    <x v="3"/>
    <n v="1"/>
    <x v="5"/>
    <n v="213"/>
    <x v="17"/>
    <x v="1"/>
    <s v="F"/>
    <x v="5"/>
    <n v="62"/>
    <n v="4092267.8571428573"/>
    <n v="5729175"/>
    <n v="2"/>
    <n v="8184535.7142857146"/>
    <n v="11458350"/>
    <n v="3273814.2857142854"/>
    <n v="0.39999999999999997"/>
  </r>
  <r>
    <n v="497"/>
    <x v="202"/>
    <x v="0"/>
    <n v="6"/>
    <x v="0"/>
    <n v="215"/>
    <x v="13"/>
    <x v="3"/>
    <s v="D"/>
    <x v="4"/>
    <n v="100"/>
    <n v="1322325"/>
    <n v="1851255"/>
    <n v="7"/>
    <n v="9256275"/>
    <n v="12958785"/>
    <n v="3702510"/>
    <n v="0.4"/>
  </r>
  <r>
    <n v="498"/>
    <x v="271"/>
    <x v="0"/>
    <n v="12"/>
    <x v="4"/>
    <n v="478"/>
    <x v="18"/>
    <x v="2"/>
    <s v="F"/>
    <x v="7"/>
    <n v="61"/>
    <n v="3245222.8571428573"/>
    <n v="4543312"/>
    <n v="6"/>
    <n v="19471337.142857142"/>
    <n v="27259872"/>
    <n v="7788534.8571428582"/>
    <n v="0.40000000000000008"/>
  </r>
  <r>
    <n v="499"/>
    <x v="357"/>
    <x v="2"/>
    <n v="11"/>
    <x v="10"/>
    <n v="289"/>
    <x v="14"/>
    <x v="4"/>
    <s v="B"/>
    <x v="3"/>
    <n v="92"/>
    <n v="5624511.4285714291"/>
    <n v="7874316"/>
    <n v="6"/>
    <n v="33747068.571428575"/>
    <n v="47245896"/>
    <n v="13498827.428571425"/>
    <n v="0.39999999999999986"/>
  </r>
  <r>
    <n v="500"/>
    <x v="100"/>
    <x v="4"/>
    <n v="6"/>
    <x v="0"/>
    <n v="286"/>
    <x v="6"/>
    <x v="3"/>
    <s v="C"/>
    <x v="5"/>
    <n v="77"/>
    <n v="6545246.4285714291"/>
    <n v="9163345"/>
    <n v="1"/>
    <n v="6545246.4285714291"/>
    <n v="9163345"/>
    <n v="2618098.5714285709"/>
    <n v="0.39999999999999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4B9A76-D036-4115-AAD7-86874EF49A6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1">
    <pivotField showAll="0"/>
    <pivotField numFmtId="14" showAll="0">
      <items count="404">
        <item x="98"/>
        <item x="298"/>
        <item x="2"/>
        <item x="29"/>
        <item x="14"/>
        <item x="208"/>
        <item x="364"/>
        <item x="335"/>
        <item x="175"/>
        <item x="121"/>
        <item x="173"/>
        <item x="63"/>
        <item x="134"/>
        <item x="145"/>
        <item x="232"/>
        <item x="3"/>
        <item x="135"/>
        <item x="82"/>
        <item x="139"/>
        <item x="399"/>
        <item x="193"/>
        <item x="27"/>
        <item x="197"/>
        <item x="219"/>
        <item x="16"/>
        <item x="36"/>
        <item x="224"/>
        <item x="400"/>
        <item x="110"/>
        <item x="238"/>
        <item x="72"/>
        <item x="317"/>
        <item x="360"/>
        <item x="337"/>
        <item x="191"/>
        <item x="211"/>
        <item x="6"/>
        <item x="292"/>
        <item x="178"/>
        <item x="241"/>
        <item x="151"/>
        <item x="166"/>
        <item x="392"/>
        <item x="273"/>
        <item x="57"/>
        <item x="233"/>
        <item x="230"/>
        <item x="216"/>
        <item x="103"/>
        <item x="291"/>
        <item x="250"/>
        <item x="116"/>
        <item x="107"/>
        <item x="201"/>
        <item x="385"/>
        <item x="192"/>
        <item x="357"/>
        <item x="256"/>
        <item x="332"/>
        <item x="102"/>
        <item x="79"/>
        <item x="328"/>
        <item x="376"/>
        <item x="295"/>
        <item x="43"/>
        <item x="83"/>
        <item x="125"/>
        <item x="334"/>
        <item x="198"/>
        <item x="138"/>
        <item x="53"/>
        <item x="59"/>
        <item x="394"/>
        <item x="7"/>
        <item x="169"/>
        <item x="363"/>
        <item x="123"/>
        <item x="35"/>
        <item x="152"/>
        <item x="167"/>
        <item x="87"/>
        <item x="259"/>
        <item x="275"/>
        <item x="170"/>
        <item x="361"/>
        <item x="303"/>
        <item x="108"/>
        <item x="300"/>
        <item x="358"/>
        <item x="217"/>
        <item x="15"/>
        <item x="78"/>
        <item x="237"/>
        <item x="210"/>
        <item x="316"/>
        <item x="242"/>
        <item x="375"/>
        <item x="10"/>
        <item x="61"/>
        <item x="234"/>
        <item x="150"/>
        <item x="381"/>
        <item x="293"/>
        <item x="126"/>
        <item x="309"/>
        <item x="269"/>
        <item x="196"/>
        <item x="248"/>
        <item x="160"/>
        <item x="97"/>
        <item x="120"/>
        <item x="342"/>
        <item x="65"/>
        <item x="401"/>
        <item x="336"/>
        <item x="252"/>
        <item x="88"/>
        <item x="101"/>
        <item x="284"/>
        <item x="176"/>
        <item x="204"/>
        <item x="389"/>
        <item x="240"/>
        <item x="68"/>
        <item x="100"/>
        <item x="25"/>
        <item x="341"/>
        <item x="47"/>
        <item x="124"/>
        <item x="306"/>
        <item x="85"/>
        <item x="380"/>
        <item x="379"/>
        <item x="338"/>
        <item x="283"/>
        <item x="18"/>
        <item x="249"/>
        <item x="91"/>
        <item x="254"/>
        <item x="168"/>
        <item x="215"/>
        <item x="272"/>
        <item x="288"/>
        <item x="214"/>
        <item x="90"/>
        <item x="21"/>
        <item x="227"/>
        <item x="142"/>
        <item x="314"/>
        <item x="162"/>
        <item x="322"/>
        <item x="181"/>
        <item x="247"/>
        <item x="387"/>
        <item x="45"/>
        <item x="270"/>
        <item x="92"/>
        <item x="226"/>
        <item x="262"/>
        <item x="266"/>
        <item x="311"/>
        <item x="46"/>
        <item x="32"/>
        <item x="388"/>
        <item x="184"/>
        <item x="66"/>
        <item x="164"/>
        <item x="282"/>
        <item x="329"/>
        <item x="346"/>
        <item x="136"/>
        <item x="182"/>
        <item x="156"/>
        <item x="297"/>
        <item x="395"/>
        <item x="367"/>
        <item x="353"/>
        <item x="194"/>
        <item x="13"/>
        <item x="77"/>
        <item x="171"/>
        <item x="319"/>
        <item x="372"/>
        <item x="76"/>
        <item x="155"/>
        <item x="305"/>
        <item x="42"/>
        <item x="56"/>
        <item x="81"/>
        <item x="146"/>
        <item x="51"/>
        <item x="8"/>
        <item x="64"/>
        <item x="30"/>
        <item x="147"/>
        <item x="89"/>
        <item x="174"/>
        <item x="286"/>
        <item x="133"/>
        <item x="104"/>
        <item x="212"/>
        <item x="4"/>
        <item x="398"/>
        <item x="308"/>
        <item x="290"/>
        <item x="84"/>
        <item x="267"/>
        <item x="73"/>
        <item x="261"/>
        <item x="20"/>
        <item x="236"/>
        <item x="153"/>
        <item x="163"/>
        <item x="159"/>
        <item x="326"/>
        <item x="80"/>
        <item x="23"/>
        <item x="368"/>
        <item x="202"/>
        <item x="239"/>
        <item x="33"/>
        <item x="60"/>
        <item x="0"/>
        <item x="41"/>
        <item x="228"/>
        <item x="268"/>
        <item x="70"/>
        <item x="177"/>
        <item x="209"/>
        <item x="17"/>
        <item x="189"/>
        <item x="383"/>
        <item x="344"/>
        <item x="185"/>
        <item x="172"/>
        <item x="377"/>
        <item x="304"/>
        <item x="22"/>
        <item x="49"/>
        <item x="5"/>
        <item x="253"/>
        <item x="113"/>
        <item x="206"/>
        <item x="349"/>
        <item x="354"/>
        <item x="312"/>
        <item x="71"/>
        <item x="144"/>
        <item x="257"/>
        <item x="50"/>
        <item x="366"/>
        <item x="378"/>
        <item x="255"/>
        <item x="190"/>
        <item x="39"/>
        <item x="109"/>
        <item x="132"/>
        <item x="199"/>
        <item x="186"/>
        <item x="345"/>
        <item x="117"/>
        <item x="333"/>
        <item x="180"/>
        <item x="318"/>
        <item x="310"/>
        <item x="86"/>
        <item x="371"/>
        <item x="393"/>
        <item x="315"/>
        <item x="271"/>
        <item x="37"/>
        <item x="99"/>
        <item x="54"/>
        <item x="263"/>
        <item x="12"/>
        <item x="111"/>
        <item x="105"/>
        <item x="149"/>
        <item x="355"/>
        <item x="52"/>
        <item x="339"/>
        <item x="384"/>
        <item x="386"/>
        <item x="11"/>
        <item x="38"/>
        <item x="327"/>
        <item x="1"/>
        <item x="373"/>
        <item x="299"/>
        <item x="348"/>
        <item x="287"/>
        <item x="31"/>
        <item x="195"/>
        <item x="179"/>
        <item x="246"/>
        <item x="165"/>
        <item x="24"/>
        <item x="307"/>
        <item x="154"/>
        <item x="313"/>
        <item x="141"/>
        <item x="281"/>
        <item x="223"/>
        <item x="278"/>
        <item x="301"/>
        <item x="323"/>
        <item x="205"/>
        <item x="362"/>
        <item x="374"/>
        <item x="359"/>
        <item x="128"/>
        <item x="140"/>
        <item x="294"/>
        <item x="277"/>
        <item x="114"/>
        <item x="320"/>
        <item x="26"/>
        <item x="397"/>
        <item x="396"/>
        <item x="289"/>
        <item x="28"/>
        <item x="220"/>
        <item x="44"/>
        <item x="251"/>
        <item x="235"/>
        <item x="75"/>
        <item x="276"/>
        <item x="390"/>
        <item x="55"/>
        <item x="74"/>
        <item x="40"/>
        <item x="143"/>
        <item x="391"/>
        <item x="302"/>
        <item x="106"/>
        <item x="218"/>
        <item x="351"/>
        <item x="321"/>
        <item x="213"/>
        <item x="347"/>
        <item x="122"/>
        <item x="382"/>
        <item x="356"/>
        <item x="203"/>
        <item x="330"/>
        <item x="34"/>
        <item x="325"/>
        <item x="245"/>
        <item x="130"/>
        <item x="340"/>
        <item x="183"/>
        <item x="115"/>
        <item x="280"/>
        <item x="222"/>
        <item x="343"/>
        <item x="93"/>
        <item x="161"/>
        <item x="188"/>
        <item x="96"/>
        <item x="324"/>
        <item x="264"/>
        <item x="285"/>
        <item x="95"/>
        <item x="279"/>
        <item x="244"/>
        <item x="231"/>
        <item x="200"/>
        <item x="94"/>
        <item x="258"/>
        <item x="129"/>
        <item x="62"/>
        <item x="207"/>
        <item x="369"/>
        <item x="243"/>
        <item x="118"/>
        <item x="69"/>
        <item x="260"/>
        <item x="67"/>
        <item x="370"/>
        <item x="158"/>
        <item x="19"/>
        <item x="119"/>
        <item x="265"/>
        <item x="331"/>
        <item x="402"/>
        <item x="127"/>
        <item x="148"/>
        <item x="9"/>
        <item x="131"/>
        <item x="187"/>
        <item x="48"/>
        <item x="221"/>
        <item x="296"/>
        <item x="157"/>
        <item x="137"/>
        <item x="229"/>
        <item x="274"/>
        <item x="352"/>
        <item x="365"/>
        <item x="350"/>
        <item x="112"/>
        <item x="58"/>
        <item x="225"/>
        <item t="default"/>
      </items>
    </pivotField>
    <pivotField showAll="0">
      <items count="6">
        <item x="2"/>
        <item x="4"/>
        <item x="0"/>
        <item x="1"/>
        <item x="3"/>
        <item t="default"/>
      </items>
    </pivotField>
    <pivotField showAll="0"/>
    <pivotField showAll="0">
      <items count="13">
        <item x="5"/>
        <item x="1"/>
        <item x="6"/>
        <item x="2"/>
        <item x="9"/>
        <item x="0"/>
        <item x="7"/>
        <item x="8"/>
        <item x="3"/>
        <item x="11"/>
        <item x="10"/>
        <item x="4"/>
        <item t="default"/>
      </items>
    </pivotField>
    <pivotField showAll="0"/>
    <pivotField showAll="0"/>
    <pivotField showAll="0"/>
    <pivotField showAll="0"/>
    <pivotField showAll="0">
      <items count="10">
        <item x="6"/>
        <item x="0"/>
        <item x="2"/>
        <item x="4"/>
        <item x="5"/>
        <item x="7"/>
        <item x="1"/>
        <item x="8"/>
        <item x="3"/>
        <item t="default"/>
      </items>
    </pivotField>
    <pivotField showAll="0"/>
    <pivotField numFmtId="3" showAll="0"/>
    <pivotField numFmtId="3" showAll="0"/>
    <pivotField showAll="0"/>
    <pivotField numFmtId="3" showAll="0"/>
    <pivotField dataField="1" showAll="0"/>
    <pivotField numFmtId="3"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Average of Total Sales Value" fld="15"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BE0479-33FB-48A0-828E-0ED2B8F8E8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1">
    <pivotField showAll="0"/>
    <pivotField numFmtId="14" showAll="0">
      <items count="404">
        <item x="98"/>
        <item x="298"/>
        <item x="2"/>
        <item x="29"/>
        <item x="14"/>
        <item x="208"/>
        <item x="364"/>
        <item x="335"/>
        <item x="175"/>
        <item x="121"/>
        <item x="173"/>
        <item x="63"/>
        <item x="134"/>
        <item x="145"/>
        <item x="232"/>
        <item x="3"/>
        <item x="135"/>
        <item x="82"/>
        <item x="139"/>
        <item x="399"/>
        <item x="193"/>
        <item x="27"/>
        <item x="197"/>
        <item x="219"/>
        <item x="16"/>
        <item x="36"/>
        <item x="224"/>
        <item x="400"/>
        <item x="110"/>
        <item x="238"/>
        <item x="72"/>
        <item x="317"/>
        <item x="360"/>
        <item x="337"/>
        <item x="191"/>
        <item x="211"/>
        <item x="6"/>
        <item x="292"/>
        <item x="178"/>
        <item x="241"/>
        <item x="151"/>
        <item x="166"/>
        <item x="392"/>
        <item x="273"/>
        <item x="57"/>
        <item x="233"/>
        <item x="230"/>
        <item x="216"/>
        <item x="103"/>
        <item x="291"/>
        <item x="250"/>
        <item x="116"/>
        <item x="107"/>
        <item x="201"/>
        <item x="385"/>
        <item x="192"/>
        <item x="357"/>
        <item x="256"/>
        <item x="332"/>
        <item x="102"/>
        <item x="79"/>
        <item x="328"/>
        <item x="376"/>
        <item x="295"/>
        <item x="43"/>
        <item x="83"/>
        <item x="125"/>
        <item x="334"/>
        <item x="198"/>
        <item x="138"/>
        <item x="53"/>
        <item x="59"/>
        <item x="394"/>
        <item x="7"/>
        <item x="169"/>
        <item x="363"/>
        <item x="123"/>
        <item x="35"/>
        <item x="152"/>
        <item x="167"/>
        <item x="87"/>
        <item x="259"/>
        <item x="275"/>
        <item x="170"/>
        <item x="361"/>
        <item x="303"/>
        <item x="108"/>
        <item x="300"/>
        <item x="358"/>
        <item x="217"/>
        <item x="15"/>
        <item x="78"/>
        <item x="237"/>
        <item x="210"/>
        <item x="316"/>
        <item x="242"/>
        <item x="375"/>
        <item x="10"/>
        <item x="61"/>
        <item x="234"/>
        <item x="150"/>
        <item x="381"/>
        <item x="293"/>
        <item x="126"/>
        <item x="309"/>
        <item x="269"/>
        <item x="196"/>
        <item x="248"/>
        <item x="160"/>
        <item x="97"/>
        <item x="120"/>
        <item x="342"/>
        <item x="65"/>
        <item x="401"/>
        <item x="336"/>
        <item x="252"/>
        <item x="88"/>
        <item x="101"/>
        <item x="284"/>
        <item x="176"/>
        <item x="204"/>
        <item x="389"/>
        <item x="240"/>
        <item x="68"/>
        <item x="100"/>
        <item x="25"/>
        <item x="341"/>
        <item x="47"/>
        <item x="124"/>
        <item x="306"/>
        <item x="85"/>
        <item x="380"/>
        <item x="379"/>
        <item x="338"/>
        <item x="283"/>
        <item x="18"/>
        <item x="249"/>
        <item x="91"/>
        <item x="254"/>
        <item x="168"/>
        <item x="215"/>
        <item x="272"/>
        <item x="288"/>
        <item x="214"/>
        <item x="90"/>
        <item x="21"/>
        <item x="227"/>
        <item x="142"/>
        <item x="314"/>
        <item x="162"/>
        <item x="322"/>
        <item x="181"/>
        <item x="247"/>
        <item x="387"/>
        <item x="45"/>
        <item x="270"/>
        <item x="92"/>
        <item x="226"/>
        <item x="262"/>
        <item x="266"/>
        <item x="311"/>
        <item x="46"/>
        <item x="32"/>
        <item x="388"/>
        <item x="184"/>
        <item x="66"/>
        <item x="164"/>
        <item x="282"/>
        <item x="329"/>
        <item x="346"/>
        <item x="136"/>
        <item x="182"/>
        <item x="156"/>
        <item x="297"/>
        <item x="395"/>
        <item x="367"/>
        <item x="353"/>
        <item x="194"/>
        <item x="13"/>
        <item x="77"/>
        <item x="171"/>
        <item x="319"/>
        <item x="372"/>
        <item x="76"/>
        <item x="155"/>
        <item x="305"/>
        <item x="42"/>
        <item x="56"/>
        <item x="81"/>
        <item x="146"/>
        <item x="51"/>
        <item x="8"/>
        <item x="64"/>
        <item x="30"/>
        <item x="147"/>
        <item x="89"/>
        <item x="174"/>
        <item x="286"/>
        <item x="133"/>
        <item x="104"/>
        <item x="212"/>
        <item x="4"/>
        <item x="398"/>
        <item x="308"/>
        <item x="290"/>
        <item x="84"/>
        <item x="267"/>
        <item x="73"/>
        <item x="261"/>
        <item x="20"/>
        <item x="236"/>
        <item x="153"/>
        <item x="163"/>
        <item x="159"/>
        <item x="326"/>
        <item x="80"/>
        <item x="23"/>
        <item x="368"/>
        <item x="202"/>
        <item x="239"/>
        <item x="33"/>
        <item x="60"/>
        <item x="0"/>
        <item x="41"/>
        <item x="228"/>
        <item x="268"/>
        <item x="70"/>
        <item x="177"/>
        <item x="209"/>
        <item x="17"/>
        <item x="189"/>
        <item x="383"/>
        <item x="344"/>
        <item x="185"/>
        <item x="172"/>
        <item x="377"/>
        <item x="304"/>
        <item x="22"/>
        <item x="49"/>
        <item x="5"/>
        <item x="253"/>
        <item x="113"/>
        <item x="206"/>
        <item x="349"/>
        <item x="354"/>
        <item x="312"/>
        <item x="71"/>
        <item x="144"/>
        <item x="257"/>
        <item x="50"/>
        <item x="366"/>
        <item x="378"/>
        <item x="255"/>
        <item x="190"/>
        <item x="39"/>
        <item x="109"/>
        <item x="132"/>
        <item x="199"/>
        <item x="186"/>
        <item x="345"/>
        <item x="117"/>
        <item x="333"/>
        <item x="180"/>
        <item x="318"/>
        <item x="310"/>
        <item x="86"/>
        <item x="371"/>
        <item x="393"/>
        <item x="315"/>
        <item x="271"/>
        <item x="37"/>
        <item x="99"/>
        <item x="54"/>
        <item x="263"/>
        <item x="12"/>
        <item x="111"/>
        <item x="105"/>
        <item x="149"/>
        <item x="355"/>
        <item x="52"/>
        <item x="339"/>
        <item x="384"/>
        <item x="386"/>
        <item x="11"/>
        <item x="38"/>
        <item x="327"/>
        <item x="1"/>
        <item x="373"/>
        <item x="299"/>
        <item x="348"/>
        <item x="287"/>
        <item x="31"/>
        <item x="195"/>
        <item x="179"/>
        <item x="246"/>
        <item x="165"/>
        <item x="24"/>
        <item x="307"/>
        <item x="154"/>
        <item x="313"/>
        <item x="141"/>
        <item x="281"/>
        <item x="223"/>
        <item x="278"/>
        <item x="301"/>
        <item x="323"/>
        <item x="205"/>
        <item x="362"/>
        <item x="374"/>
        <item x="359"/>
        <item x="128"/>
        <item x="140"/>
        <item x="294"/>
        <item x="277"/>
        <item x="114"/>
        <item x="320"/>
        <item x="26"/>
        <item x="397"/>
        <item x="396"/>
        <item x="289"/>
        <item x="28"/>
        <item x="220"/>
        <item x="44"/>
        <item x="251"/>
        <item x="235"/>
        <item x="75"/>
        <item x="276"/>
        <item x="390"/>
        <item x="55"/>
        <item x="74"/>
        <item x="40"/>
        <item x="143"/>
        <item x="391"/>
        <item x="302"/>
        <item x="106"/>
        <item x="218"/>
        <item x="351"/>
        <item x="321"/>
        <item x="213"/>
        <item x="347"/>
        <item x="122"/>
        <item x="382"/>
        <item x="356"/>
        <item x="203"/>
        <item x="330"/>
        <item x="34"/>
        <item x="325"/>
        <item x="245"/>
        <item x="130"/>
        <item x="340"/>
        <item x="183"/>
        <item x="115"/>
        <item x="280"/>
        <item x="222"/>
        <item x="343"/>
        <item x="93"/>
        <item x="161"/>
        <item x="188"/>
        <item x="96"/>
        <item x="324"/>
        <item x="264"/>
        <item x="285"/>
        <item x="95"/>
        <item x="279"/>
        <item x="244"/>
        <item x="231"/>
        <item x="200"/>
        <item x="94"/>
        <item x="258"/>
        <item x="129"/>
        <item x="62"/>
        <item x="207"/>
        <item x="369"/>
        <item x="243"/>
        <item x="118"/>
        <item x="69"/>
        <item x="260"/>
        <item x="67"/>
        <item x="370"/>
        <item x="158"/>
        <item x="19"/>
        <item x="119"/>
        <item x="265"/>
        <item x="331"/>
        <item x="402"/>
        <item x="127"/>
        <item x="148"/>
        <item x="9"/>
        <item x="131"/>
        <item x="187"/>
        <item x="48"/>
        <item x="221"/>
        <item x="296"/>
        <item x="157"/>
        <item x="137"/>
        <item x="229"/>
        <item x="274"/>
        <item x="352"/>
        <item x="365"/>
        <item x="350"/>
        <item x="112"/>
        <item x="58"/>
        <item x="225"/>
        <item t="default"/>
      </items>
    </pivotField>
    <pivotField showAll="0">
      <items count="6">
        <item x="2"/>
        <item x="4"/>
        <item x="0"/>
        <item x="1"/>
        <item x="3"/>
        <item t="default"/>
      </items>
    </pivotField>
    <pivotField showAll="0"/>
    <pivotField showAll="0">
      <items count="13">
        <item x="5"/>
        <item x="1"/>
        <item x="6"/>
        <item x="2"/>
        <item x="9"/>
        <item x="0"/>
        <item x="7"/>
        <item x="8"/>
        <item x="3"/>
        <item x="11"/>
        <item x="10"/>
        <item x="4"/>
        <item t="default"/>
      </items>
    </pivotField>
    <pivotField showAll="0"/>
    <pivotField showAll="0"/>
    <pivotField showAll="0"/>
    <pivotField showAll="0"/>
    <pivotField showAll="0">
      <items count="10">
        <item x="6"/>
        <item x="0"/>
        <item x="2"/>
        <item x="4"/>
        <item x="5"/>
        <item x="7"/>
        <item x="1"/>
        <item x="8"/>
        <item x="3"/>
        <item t="default"/>
      </items>
    </pivotField>
    <pivotField showAll="0"/>
    <pivotField numFmtId="3" showAll="0"/>
    <pivotField numFmtId="3" showAll="0"/>
    <pivotField dataField="1" showAll="0"/>
    <pivotField numFmtId="3" showAll="0"/>
    <pivotField showAll="0"/>
    <pivotField numFmtId="3"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_Qty" fld="13" baseField="0" baseItem="0" numFmtId="3"/>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0DB606-6EDE-46AB-95E4-B88CF9AB648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Name">
  <location ref="A50:C71" firstHeaderRow="0" firstDataRow="1" firstDataCol="1"/>
  <pivotFields count="21">
    <pivotField showAll="0"/>
    <pivotField numFmtId="14" showAll="0">
      <items count="404">
        <item x="98"/>
        <item x="298"/>
        <item x="2"/>
        <item x="29"/>
        <item x="14"/>
        <item x="208"/>
        <item x="364"/>
        <item x="335"/>
        <item x="175"/>
        <item x="121"/>
        <item x="173"/>
        <item x="63"/>
        <item x="134"/>
        <item x="145"/>
        <item x="232"/>
        <item x="3"/>
        <item x="135"/>
        <item x="82"/>
        <item x="139"/>
        <item x="399"/>
        <item x="193"/>
        <item x="27"/>
        <item x="197"/>
        <item x="219"/>
        <item x="16"/>
        <item x="36"/>
        <item x="224"/>
        <item x="400"/>
        <item x="110"/>
        <item x="238"/>
        <item x="72"/>
        <item x="317"/>
        <item x="360"/>
        <item x="337"/>
        <item x="191"/>
        <item x="211"/>
        <item x="6"/>
        <item x="292"/>
        <item x="178"/>
        <item x="241"/>
        <item x="151"/>
        <item x="166"/>
        <item x="392"/>
        <item x="273"/>
        <item x="57"/>
        <item x="233"/>
        <item x="230"/>
        <item x="216"/>
        <item x="103"/>
        <item x="291"/>
        <item x="250"/>
        <item x="116"/>
        <item x="107"/>
        <item x="201"/>
        <item x="385"/>
        <item x="192"/>
        <item x="357"/>
        <item x="256"/>
        <item x="332"/>
        <item x="102"/>
        <item x="79"/>
        <item x="328"/>
        <item x="376"/>
        <item x="295"/>
        <item x="43"/>
        <item x="83"/>
        <item x="125"/>
        <item x="334"/>
        <item x="198"/>
        <item x="138"/>
        <item x="53"/>
        <item x="59"/>
        <item x="394"/>
        <item x="7"/>
        <item x="169"/>
        <item x="363"/>
        <item x="123"/>
        <item x="35"/>
        <item x="152"/>
        <item x="167"/>
        <item x="87"/>
        <item x="259"/>
        <item x="275"/>
        <item x="170"/>
        <item x="361"/>
        <item x="303"/>
        <item x="108"/>
        <item x="300"/>
        <item x="358"/>
        <item x="217"/>
        <item x="15"/>
        <item x="78"/>
        <item x="237"/>
        <item x="210"/>
        <item x="316"/>
        <item x="242"/>
        <item x="375"/>
        <item x="10"/>
        <item x="61"/>
        <item x="234"/>
        <item x="150"/>
        <item x="381"/>
        <item x="293"/>
        <item x="126"/>
        <item x="309"/>
        <item x="269"/>
        <item x="196"/>
        <item x="248"/>
        <item x="160"/>
        <item x="97"/>
        <item x="120"/>
        <item x="342"/>
        <item x="65"/>
        <item x="401"/>
        <item x="336"/>
        <item x="252"/>
        <item x="88"/>
        <item x="101"/>
        <item x="284"/>
        <item x="176"/>
        <item x="204"/>
        <item x="389"/>
        <item x="240"/>
        <item x="68"/>
        <item x="100"/>
        <item x="25"/>
        <item x="341"/>
        <item x="47"/>
        <item x="124"/>
        <item x="306"/>
        <item x="85"/>
        <item x="380"/>
        <item x="379"/>
        <item x="338"/>
        <item x="283"/>
        <item x="18"/>
        <item x="249"/>
        <item x="91"/>
        <item x="254"/>
        <item x="168"/>
        <item x="215"/>
        <item x="272"/>
        <item x="288"/>
        <item x="214"/>
        <item x="90"/>
        <item x="21"/>
        <item x="227"/>
        <item x="142"/>
        <item x="314"/>
        <item x="162"/>
        <item x="322"/>
        <item x="181"/>
        <item x="247"/>
        <item x="387"/>
        <item x="45"/>
        <item x="270"/>
        <item x="92"/>
        <item x="226"/>
        <item x="262"/>
        <item x="266"/>
        <item x="311"/>
        <item x="46"/>
        <item x="32"/>
        <item x="388"/>
        <item x="184"/>
        <item x="66"/>
        <item x="164"/>
        <item x="282"/>
        <item x="329"/>
        <item x="346"/>
        <item x="136"/>
        <item x="182"/>
        <item x="156"/>
        <item x="297"/>
        <item x="395"/>
        <item x="367"/>
        <item x="353"/>
        <item x="194"/>
        <item x="13"/>
        <item x="77"/>
        <item x="171"/>
        <item x="319"/>
        <item x="372"/>
        <item x="76"/>
        <item x="155"/>
        <item x="305"/>
        <item x="42"/>
        <item x="56"/>
        <item x="81"/>
        <item x="146"/>
        <item x="51"/>
        <item x="8"/>
        <item x="64"/>
        <item x="30"/>
        <item x="147"/>
        <item x="89"/>
        <item x="174"/>
        <item x="286"/>
        <item x="133"/>
        <item x="104"/>
        <item x="212"/>
        <item x="4"/>
        <item x="398"/>
        <item x="308"/>
        <item x="290"/>
        <item x="84"/>
        <item x="267"/>
        <item x="73"/>
        <item x="261"/>
        <item x="20"/>
        <item x="236"/>
        <item x="153"/>
        <item x="163"/>
        <item x="159"/>
        <item x="326"/>
        <item x="80"/>
        <item x="23"/>
        <item x="368"/>
        <item x="202"/>
        <item x="239"/>
        <item x="33"/>
        <item x="60"/>
        <item x="0"/>
        <item x="41"/>
        <item x="228"/>
        <item x="268"/>
        <item x="70"/>
        <item x="177"/>
        <item x="209"/>
        <item x="17"/>
        <item x="189"/>
        <item x="383"/>
        <item x="344"/>
        <item x="185"/>
        <item x="172"/>
        <item x="377"/>
        <item x="304"/>
        <item x="22"/>
        <item x="49"/>
        <item x="5"/>
        <item x="253"/>
        <item x="113"/>
        <item x="206"/>
        <item x="349"/>
        <item x="354"/>
        <item x="312"/>
        <item x="71"/>
        <item x="144"/>
        <item x="257"/>
        <item x="50"/>
        <item x="366"/>
        <item x="378"/>
        <item x="255"/>
        <item x="190"/>
        <item x="39"/>
        <item x="109"/>
        <item x="132"/>
        <item x="199"/>
        <item x="186"/>
        <item x="345"/>
        <item x="117"/>
        <item x="333"/>
        <item x="180"/>
        <item x="318"/>
        <item x="310"/>
        <item x="86"/>
        <item x="371"/>
        <item x="393"/>
        <item x="315"/>
        <item x="271"/>
        <item x="37"/>
        <item x="99"/>
        <item x="54"/>
        <item x="263"/>
        <item x="12"/>
        <item x="111"/>
        <item x="105"/>
        <item x="149"/>
        <item x="355"/>
        <item x="52"/>
        <item x="339"/>
        <item x="384"/>
        <item x="386"/>
        <item x="11"/>
        <item x="38"/>
        <item x="327"/>
        <item x="1"/>
        <item x="373"/>
        <item x="299"/>
        <item x="348"/>
        <item x="287"/>
        <item x="31"/>
        <item x="195"/>
        <item x="179"/>
        <item x="246"/>
        <item x="165"/>
        <item x="24"/>
        <item x="307"/>
        <item x="154"/>
        <item x="313"/>
        <item x="141"/>
        <item x="281"/>
        <item x="223"/>
        <item x="278"/>
        <item x="301"/>
        <item x="323"/>
        <item x="205"/>
        <item x="362"/>
        <item x="374"/>
        <item x="359"/>
        <item x="128"/>
        <item x="140"/>
        <item x="294"/>
        <item x="277"/>
        <item x="114"/>
        <item x="320"/>
        <item x="26"/>
        <item x="397"/>
        <item x="396"/>
        <item x="289"/>
        <item x="28"/>
        <item x="220"/>
        <item x="44"/>
        <item x="251"/>
        <item x="235"/>
        <item x="75"/>
        <item x="276"/>
        <item x="390"/>
        <item x="55"/>
        <item x="74"/>
        <item x="40"/>
        <item x="143"/>
        <item x="391"/>
        <item x="302"/>
        <item x="106"/>
        <item x="218"/>
        <item x="351"/>
        <item x="321"/>
        <item x="213"/>
        <item x="347"/>
        <item x="122"/>
        <item x="382"/>
        <item x="356"/>
        <item x="203"/>
        <item x="330"/>
        <item x="34"/>
        <item x="325"/>
        <item x="245"/>
        <item x="130"/>
        <item x="340"/>
        <item x="183"/>
        <item x="115"/>
        <item x="280"/>
        <item x="222"/>
        <item x="343"/>
        <item x="93"/>
        <item x="161"/>
        <item x="188"/>
        <item x="96"/>
        <item x="324"/>
        <item x="264"/>
        <item x="285"/>
        <item x="95"/>
        <item x="279"/>
        <item x="244"/>
        <item x="231"/>
        <item x="200"/>
        <item x="94"/>
        <item x="258"/>
        <item x="129"/>
        <item x="62"/>
        <item x="207"/>
        <item x="369"/>
        <item x="243"/>
        <item x="118"/>
        <item x="69"/>
        <item x="260"/>
        <item x="67"/>
        <item x="370"/>
        <item x="158"/>
        <item x="19"/>
        <item x="119"/>
        <item x="265"/>
        <item x="331"/>
        <item x="402"/>
        <item x="127"/>
        <item x="148"/>
        <item x="9"/>
        <item x="131"/>
        <item x="187"/>
        <item x="48"/>
        <item x="221"/>
        <item x="296"/>
        <item x="157"/>
        <item x="137"/>
        <item x="229"/>
        <item x="274"/>
        <item x="352"/>
        <item x="365"/>
        <item x="350"/>
        <item x="112"/>
        <item x="58"/>
        <item x="225"/>
        <item t="default"/>
      </items>
    </pivotField>
    <pivotField showAll="0">
      <items count="6">
        <item x="2"/>
        <item x="4"/>
        <item x="0"/>
        <item x="1"/>
        <item x="3"/>
        <item t="default"/>
      </items>
    </pivotField>
    <pivotField showAll="0"/>
    <pivotField showAll="0">
      <items count="13">
        <item x="5"/>
        <item x="1"/>
        <item x="6"/>
        <item x="2"/>
        <item x="9"/>
        <item x="0"/>
        <item x="7"/>
        <item x="8"/>
        <item x="3"/>
        <item x="11"/>
        <item x="10"/>
        <item x="4"/>
        <item t="default"/>
      </items>
    </pivotField>
    <pivotField showAll="0"/>
    <pivotField axis="axisRow" showAll="0">
      <items count="21">
        <item x="14"/>
        <item x="5"/>
        <item x="3"/>
        <item x="10"/>
        <item x="6"/>
        <item x="16"/>
        <item x="9"/>
        <item x="7"/>
        <item x="11"/>
        <item x="4"/>
        <item x="13"/>
        <item x="12"/>
        <item x="0"/>
        <item x="2"/>
        <item x="1"/>
        <item x="19"/>
        <item x="15"/>
        <item x="18"/>
        <item x="17"/>
        <item x="8"/>
        <item t="default"/>
      </items>
    </pivotField>
    <pivotField showAll="0"/>
    <pivotField showAll="0"/>
    <pivotField showAll="0">
      <items count="10">
        <item x="6"/>
        <item x="0"/>
        <item x="2"/>
        <item x="4"/>
        <item x="5"/>
        <item x="7"/>
        <item x="1"/>
        <item x="8"/>
        <item x="3"/>
        <item t="default"/>
      </items>
    </pivotField>
    <pivotField showAll="0"/>
    <pivotField numFmtId="3" showAll="0"/>
    <pivotField numFmtId="3" showAll="0"/>
    <pivotField showAll="0"/>
    <pivotField dataField="1" numFmtId="3" showAll="0"/>
    <pivotField dataField="1" numFmtId="3" showAll="0"/>
    <pivotField numFmtId="3" showAll="0"/>
    <pivotField numFmtId="10" showAll="0"/>
    <pivotField multipleItemSelectionAllowed="1" showAll="0" defaultSubtotal="0">
      <items count="14">
        <item x="0"/>
        <item x="1"/>
        <item x="2"/>
        <item x="3"/>
        <item x="4"/>
        <item x="5"/>
        <item x="6"/>
        <item x="7"/>
        <item x="8"/>
        <item x="9"/>
        <item x="10"/>
        <item x="11"/>
        <item x="12"/>
        <item x="13"/>
      </items>
    </pivotField>
    <pivotField showAll="0" defaultSubtotal="0"/>
    <pivotField multipleItemSelectionAllowed="1" showAll="0" defaultSubtotal="0">
      <items count="7">
        <item x="0"/>
        <item x="1"/>
        <item x="2"/>
        <item x="3"/>
        <item x="4"/>
        <item x="5"/>
        <item x="6"/>
      </items>
    </pivotField>
  </pivotFields>
  <rowFields count="1">
    <field x="6"/>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Cost Per Unit" fld="14" baseField="0" baseItem="0"/>
    <dataField name="Sum of Total Sales Valu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F820BB-B959-43A0-9354-793B6AD48B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location ref="A28:B34" firstHeaderRow="1" firstDataRow="1" firstDataCol="1"/>
  <pivotFields count="21">
    <pivotField showAll="0"/>
    <pivotField numFmtId="14" showAll="0">
      <items count="404">
        <item x="98"/>
        <item x="298"/>
        <item x="2"/>
        <item x="29"/>
        <item x="14"/>
        <item x="208"/>
        <item x="364"/>
        <item x="335"/>
        <item x="175"/>
        <item x="121"/>
        <item x="173"/>
        <item x="63"/>
        <item x="134"/>
        <item x="145"/>
        <item x="232"/>
        <item x="3"/>
        <item x="135"/>
        <item x="82"/>
        <item x="139"/>
        <item x="399"/>
        <item x="193"/>
        <item x="27"/>
        <item x="197"/>
        <item x="219"/>
        <item x="16"/>
        <item x="36"/>
        <item x="224"/>
        <item x="400"/>
        <item x="110"/>
        <item x="238"/>
        <item x="72"/>
        <item x="317"/>
        <item x="360"/>
        <item x="337"/>
        <item x="191"/>
        <item x="211"/>
        <item x="6"/>
        <item x="292"/>
        <item x="178"/>
        <item x="241"/>
        <item x="151"/>
        <item x="166"/>
        <item x="392"/>
        <item x="273"/>
        <item x="57"/>
        <item x="233"/>
        <item x="230"/>
        <item x="216"/>
        <item x="103"/>
        <item x="291"/>
        <item x="250"/>
        <item x="116"/>
        <item x="107"/>
        <item x="201"/>
        <item x="385"/>
        <item x="192"/>
        <item x="357"/>
        <item x="256"/>
        <item x="332"/>
        <item x="102"/>
        <item x="79"/>
        <item x="328"/>
        <item x="376"/>
        <item x="295"/>
        <item x="43"/>
        <item x="83"/>
        <item x="125"/>
        <item x="334"/>
        <item x="198"/>
        <item x="138"/>
        <item x="53"/>
        <item x="59"/>
        <item x="394"/>
        <item x="7"/>
        <item x="169"/>
        <item x="363"/>
        <item x="123"/>
        <item x="35"/>
        <item x="152"/>
        <item x="167"/>
        <item x="87"/>
        <item x="259"/>
        <item x="275"/>
        <item x="170"/>
        <item x="361"/>
        <item x="303"/>
        <item x="108"/>
        <item x="300"/>
        <item x="358"/>
        <item x="217"/>
        <item x="15"/>
        <item x="78"/>
        <item x="237"/>
        <item x="210"/>
        <item x="316"/>
        <item x="242"/>
        <item x="375"/>
        <item x="10"/>
        <item x="61"/>
        <item x="234"/>
        <item x="150"/>
        <item x="381"/>
        <item x="293"/>
        <item x="126"/>
        <item x="309"/>
        <item x="269"/>
        <item x="196"/>
        <item x="248"/>
        <item x="160"/>
        <item x="97"/>
        <item x="120"/>
        <item x="342"/>
        <item x="65"/>
        <item x="401"/>
        <item x="336"/>
        <item x="252"/>
        <item x="88"/>
        <item x="101"/>
        <item x="284"/>
        <item x="176"/>
        <item x="204"/>
        <item x="389"/>
        <item x="240"/>
        <item x="68"/>
        <item x="100"/>
        <item x="25"/>
        <item x="341"/>
        <item x="47"/>
        <item x="124"/>
        <item x="306"/>
        <item x="85"/>
        <item x="380"/>
        <item x="379"/>
        <item x="338"/>
        <item x="283"/>
        <item x="18"/>
        <item x="249"/>
        <item x="91"/>
        <item x="254"/>
        <item x="168"/>
        <item x="215"/>
        <item x="272"/>
        <item x="288"/>
        <item x="214"/>
        <item x="90"/>
        <item x="21"/>
        <item x="227"/>
        <item x="142"/>
        <item x="314"/>
        <item x="162"/>
        <item x="322"/>
        <item x="181"/>
        <item x="247"/>
        <item x="387"/>
        <item x="45"/>
        <item x="270"/>
        <item x="92"/>
        <item x="226"/>
        <item x="262"/>
        <item x="266"/>
        <item x="311"/>
        <item x="46"/>
        <item x="32"/>
        <item x="388"/>
        <item x="184"/>
        <item x="66"/>
        <item x="164"/>
        <item x="282"/>
        <item x="329"/>
        <item x="346"/>
        <item x="136"/>
        <item x="182"/>
        <item x="156"/>
        <item x="297"/>
        <item x="395"/>
        <item x="367"/>
        <item x="353"/>
        <item x="194"/>
        <item x="13"/>
        <item x="77"/>
        <item x="171"/>
        <item x="319"/>
        <item x="372"/>
        <item x="76"/>
        <item x="155"/>
        <item x="305"/>
        <item x="42"/>
        <item x="56"/>
        <item x="81"/>
        <item x="146"/>
        <item x="51"/>
        <item x="8"/>
        <item x="64"/>
        <item x="30"/>
        <item x="147"/>
        <item x="89"/>
        <item x="174"/>
        <item x="286"/>
        <item x="133"/>
        <item x="104"/>
        <item x="212"/>
        <item x="4"/>
        <item x="398"/>
        <item x="308"/>
        <item x="290"/>
        <item x="84"/>
        <item x="267"/>
        <item x="73"/>
        <item x="261"/>
        <item x="20"/>
        <item x="236"/>
        <item x="153"/>
        <item x="163"/>
        <item x="159"/>
        <item x="326"/>
        <item x="80"/>
        <item x="23"/>
        <item x="368"/>
        <item x="202"/>
        <item x="239"/>
        <item x="33"/>
        <item x="60"/>
        <item x="0"/>
        <item x="41"/>
        <item x="228"/>
        <item x="268"/>
        <item x="70"/>
        <item x="177"/>
        <item x="209"/>
        <item x="17"/>
        <item x="189"/>
        <item x="383"/>
        <item x="344"/>
        <item x="185"/>
        <item x="172"/>
        <item x="377"/>
        <item x="304"/>
        <item x="22"/>
        <item x="49"/>
        <item x="5"/>
        <item x="253"/>
        <item x="113"/>
        <item x="206"/>
        <item x="349"/>
        <item x="354"/>
        <item x="312"/>
        <item x="71"/>
        <item x="144"/>
        <item x="257"/>
        <item x="50"/>
        <item x="366"/>
        <item x="378"/>
        <item x="255"/>
        <item x="190"/>
        <item x="39"/>
        <item x="109"/>
        <item x="132"/>
        <item x="199"/>
        <item x="186"/>
        <item x="345"/>
        <item x="117"/>
        <item x="333"/>
        <item x="180"/>
        <item x="318"/>
        <item x="310"/>
        <item x="86"/>
        <item x="371"/>
        <item x="393"/>
        <item x="315"/>
        <item x="271"/>
        <item x="37"/>
        <item x="99"/>
        <item x="54"/>
        <item x="263"/>
        <item x="12"/>
        <item x="111"/>
        <item x="105"/>
        <item x="149"/>
        <item x="355"/>
        <item x="52"/>
        <item x="339"/>
        <item x="384"/>
        <item x="386"/>
        <item x="11"/>
        <item x="38"/>
        <item x="327"/>
        <item x="1"/>
        <item x="373"/>
        <item x="299"/>
        <item x="348"/>
        <item x="287"/>
        <item x="31"/>
        <item x="195"/>
        <item x="179"/>
        <item x="246"/>
        <item x="165"/>
        <item x="24"/>
        <item x="307"/>
        <item x="154"/>
        <item x="313"/>
        <item x="141"/>
        <item x="281"/>
        <item x="223"/>
        <item x="278"/>
        <item x="301"/>
        <item x="323"/>
        <item x="205"/>
        <item x="362"/>
        <item x="374"/>
        <item x="359"/>
        <item x="128"/>
        <item x="140"/>
        <item x="294"/>
        <item x="277"/>
        <item x="114"/>
        <item x="320"/>
        <item x="26"/>
        <item x="397"/>
        <item x="396"/>
        <item x="289"/>
        <item x="28"/>
        <item x="220"/>
        <item x="44"/>
        <item x="251"/>
        <item x="235"/>
        <item x="75"/>
        <item x="276"/>
        <item x="390"/>
        <item x="55"/>
        <item x="74"/>
        <item x="40"/>
        <item x="143"/>
        <item x="391"/>
        <item x="302"/>
        <item x="106"/>
        <item x="218"/>
        <item x="351"/>
        <item x="321"/>
        <item x="213"/>
        <item x="347"/>
        <item x="122"/>
        <item x="382"/>
        <item x="356"/>
        <item x="203"/>
        <item x="330"/>
        <item x="34"/>
        <item x="325"/>
        <item x="245"/>
        <item x="130"/>
        <item x="340"/>
        <item x="183"/>
        <item x="115"/>
        <item x="280"/>
        <item x="222"/>
        <item x="343"/>
        <item x="93"/>
        <item x="161"/>
        <item x="188"/>
        <item x="96"/>
        <item x="324"/>
        <item x="264"/>
        <item x="285"/>
        <item x="95"/>
        <item x="279"/>
        <item x="244"/>
        <item x="231"/>
        <item x="200"/>
        <item x="94"/>
        <item x="258"/>
        <item x="129"/>
        <item x="62"/>
        <item x="207"/>
        <item x="369"/>
        <item x="243"/>
        <item x="118"/>
        <item x="69"/>
        <item x="260"/>
        <item x="67"/>
        <item x="370"/>
        <item x="158"/>
        <item x="19"/>
        <item x="119"/>
        <item x="265"/>
        <item x="331"/>
        <item x="402"/>
        <item x="127"/>
        <item x="148"/>
        <item x="9"/>
        <item x="131"/>
        <item x="187"/>
        <item x="48"/>
        <item x="221"/>
        <item x="296"/>
        <item x="157"/>
        <item x="137"/>
        <item x="229"/>
        <item x="274"/>
        <item x="352"/>
        <item x="365"/>
        <item x="350"/>
        <item x="112"/>
        <item x="58"/>
        <item x="225"/>
        <item t="default"/>
      </items>
    </pivotField>
    <pivotField showAll="0">
      <items count="6">
        <item x="2"/>
        <item x="4"/>
        <item x="0"/>
        <item x="1"/>
        <item x="3"/>
        <item t="default"/>
      </items>
    </pivotField>
    <pivotField showAll="0"/>
    <pivotField showAll="0">
      <items count="13">
        <item x="5"/>
        <item x="1"/>
        <item x="6"/>
        <item x="2"/>
        <item x="9"/>
        <item x="0"/>
        <item x="7"/>
        <item x="8"/>
        <item x="3"/>
        <item x="11"/>
        <item x="10"/>
        <item x="4"/>
        <item t="default"/>
      </items>
    </pivotField>
    <pivotField showAll="0"/>
    <pivotField showAll="0"/>
    <pivotField showAll="0"/>
    <pivotField showAll="0"/>
    <pivotField showAll="0">
      <items count="10">
        <item x="6"/>
        <item x="0"/>
        <item x="2"/>
        <item x="4"/>
        <item x="5"/>
        <item x="7"/>
        <item x="1"/>
        <item x="8"/>
        <item x="3"/>
        <item t="default"/>
      </items>
    </pivotField>
    <pivotField showAll="0"/>
    <pivotField numFmtId="3" showAll="0"/>
    <pivotField numFmtId="3" showAll="0"/>
    <pivotField showAll="0"/>
    <pivotField numFmtId="3" showAll="0"/>
    <pivotField dataField="1" numFmtId="3" showAll="0"/>
    <pivotField numFmtId="3" showAll="0"/>
    <pivotField numFmtId="10" showAll="0"/>
    <pivotField axis="axisRow" showAll="0" defaultSubtotal="0">
      <items count="14">
        <item x="0"/>
        <item x="1"/>
        <item x="2"/>
        <item x="3"/>
        <item x="4"/>
        <item x="5"/>
        <item x="6"/>
        <item x="7"/>
        <item x="8"/>
        <item x="9"/>
        <item x="10"/>
        <item x="11"/>
        <item x="12"/>
        <item x="13"/>
      </items>
    </pivotField>
    <pivotField axis="axisRow" showAll="0" defaultSubtotal="0">
      <items count="6">
        <item x="0"/>
        <item sd="0" x="1"/>
        <item sd="0" x="2"/>
        <item sd="0" x="3"/>
        <item sd="0" x="4"/>
        <item x="5"/>
      </items>
    </pivotField>
    <pivotField axis="axisRow" showAll="0" defaultSubtotal="0">
      <items count="7">
        <item x="0"/>
        <item sd="0" x="1"/>
        <item sd="0" x="2"/>
        <item sd="0" x="3"/>
        <item sd="0" x="4"/>
        <item sd="0" x="5"/>
        <item x="6"/>
      </items>
    </pivotField>
  </pivotFields>
  <rowFields count="3">
    <field x="20"/>
    <field x="19"/>
    <field x="18"/>
  </rowFields>
  <rowItems count="6">
    <i>
      <x v="1"/>
    </i>
    <i>
      <x v="2"/>
    </i>
    <i>
      <x v="3"/>
    </i>
    <i>
      <x v="4"/>
    </i>
    <i>
      <x v="5"/>
    </i>
    <i t="grand">
      <x/>
    </i>
  </rowItems>
  <colItems count="1">
    <i/>
  </colItems>
  <dataFields count="1">
    <dataField name="Sum of Total Sales Value" fld="15" baseField="0" baseItem="0" numFmtId="164"/>
  </dataFields>
  <formats count="2">
    <format dxfId="3">
      <pivotArea outline="0" collapsedLevelsAreSubtotals="1" fieldPosition="0"/>
    </format>
    <format dxfId="4">
      <pivotArea dataOnly="0" labelOnly="1" outline="0" axis="axisValues"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2"/>
          </reference>
        </references>
      </pivotArea>
    </chartFormat>
    <chartFormat chart="2" format="4">
      <pivotArea type="data" outline="0" fieldPosition="0">
        <references count="2">
          <reference field="4294967294" count="1" selected="0">
            <x v="0"/>
          </reference>
          <reference field="20" count="1" selected="0">
            <x v="3"/>
          </reference>
        </references>
      </pivotArea>
    </chartFormat>
    <chartFormat chart="2" format="5">
      <pivotArea type="data" outline="0" fieldPosition="0">
        <references count="2">
          <reference field="4294967294" count="1" selected="0">
            <x v="0"/>
          </reference>
          <reference field="20" count="1" selected="0">
            <x v="4"/>
          </reference>
        </references>
      </pivotArea>
    </chartFormat>
    <chartFormat chart="2" format="6">
      <pivotArea type="data" outline="0" fieldPosition="0">
        <references count="2">
          <reference field="4294967294" count="1" selected="0">
            <x v="0"/>
          </reference>
          <reference field="20" count="1" selected="0">
            <x v="5"/>
          </reference>
        </references>
      </pivotArea>
    </chartFormat>
    <chartFormat chart="2" format="7">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7FF053-9D77-4048-8453-DF3FAA82CE5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1">
    <pivotField showAll="0"/>
    <pivotField numFmtId="14" showAll="0">
      <items count="404">
        <item x="98"/>
        <item x="298"/>
        <item x="2"/>
        <item x="29"/>
        <item x="14"/>
        <item x="208"/>
        <item x="364"/>
        <item x="335"/>
        <item x="175"/>
        <item x="121"/>
        <item x="173"/>
        <item x="63"/>
        <item x="134"/>
        <item x="145"/>
        <item x="232"/>
        <item x="3"/>
        <item x="135"/>
        <item x="82"/>
        <item x="139"/>
        <item x="399"/>
        <item x="193"/>
        <item x="27"/>
        <item x="197"/>
        <item x="219"/>
        <item x="16"/>
        <item x="36"/>
        <item x="224"/>
        <item x="400"/>
        <item x="110"/>
        <item x="238"/>
        <item x="72"/>
        <item x="317"/>
        <item x="360"/>
        <item x="337"/>
        <item x="191"/>
        <item x="211"/>
        <item x="6"/>
        <item x="292"/>
        <item x="178"/>
        <item x="241"/>
        <item x="151"/>
        <item x="166"/>
        <item x="392"/>
        <item x="273"/>
        <item x="57"/>
        <item x="233"/>
        <item x="230"/>
        <item x="216"/>
        <item x="103"/>
        <item x="291"/>
        <item x="250"/>
        <item x="116"/>
        <item x="107"/>
        <item x="201"/>
        <item x="385"/>
        <item x="192"/>
        <item x="357"/>
        <item x="256"/>
        <item x="332"/>
        <item x="102"/>
        <item x="79"/>
        <item x="328"/>
        <item x="376"/>
        <item x="295"/>
        <item x="43"/>
        <item x="83"/>
        <item x="125"/>
        <item x="334"/>
        <item x="198"/>
        <item x="138"/>
        <item x="53"/>
        <item x="59"/>
        <item x="394"/>
        <item x="7"/>
        <item x="169"/>
        <item x="363"/>
        <item x="123"/>
        <item x="35"/>
        <item x="152"/>
        <item x="167"/>
        <item x="87"/>
        <item x="259"/>
        <item x="275"/>
        <item x="170"/>
        <item x="361"/>
        <item x="303"/>
        <item x="108"/>
        <item x="300"/>
        <item x="358"/>
        <item x="217"/>
        <item x="15"/>
        <item x="78"/>
        <item x="237"/>
        <item x="210"/>
        <item x="316"/>
        <item x="242"/>
        <item x="375"/>
        <item x="10"/>
        <item x="61"/>
        <item x="234"/>
        <item x="150"/>
        <item x="381"/>
        <item x="293"/>
        <item x="126"/>
        <item x="309"/>
        <item x="269"/>
        <item x="196"/>
        <item x="248"/>
        <item x="160"/>
        <item x="97"/>
        <item x="120"/>
        <item x="342"/>
        <item x="65"/>
        <item x="401"/>
        <item x="336"/>
        <item x="252"/>
        <item x="88"/>
        <item x="101"/>
        <item x="284"/>
        <item x="176"/>
        <item x="204"/>
        <item x="389"/>
        <item x="240"/>
        <item x="68"/>
        <item x="100"/>
        <item x="25"/>
        <item x="341"/>
        <item x="47"/>
        <item x="124"/>
        <item x="306"/>
        <item x="85"/>
        <item x="380"/>
        <item x="379"/>
        <item x="338"/>
        <item x="283"/>
        <item x="18"/>
        <item x="249"/>
        <item x="91"/>
        <item x="254"/>
        <item x="168"/>
        <item x="215"/>
        <item x="272"/>
        <item x="288"/>
        <item x="214"/>
        <item x="90"/>
        <item x="21"/>
        <item x="227"/>
        <item x="142"/>
        <item x="314"/>
        <item x="162"/>
        <item x="322"/>
        <item x="181"/>
        <item x="247"/>
        <item x="387"/>
        <item x="45"/>
        <item x="270"/>
        <item x="92"/>
        <item x="226"/>
        <item x="262"/>
        <item x="266"/>
        <item x="311"/>
        <item x="46"/>
        <item x="32"/>
        <item x="388"/>
        <item x="184"/>
        <item x="66"/>
        <item x="164"/>
        <item x="282"/>
        <item x="329"/>
        <item x="346"/>
        <item x="136"/>
        <item x="182"/>
        <item x="156"/>
        <item x="297"/>
        <item x="395"/>
        <item x="367"/>
        <item x="353"/>
        <item x="194"/>
        <item x="13"/>
        <item x="77"/>
        <item x="171"/>
        <item x="319"/>
        <item x="372"/>
        <item x="76"/>
        <item x="155"/>
        <item x="305"/>
        <item x="42"/>
        <item x="56"/>
        <item x="81"/>
        <item x="146"/>
        <item x="51"/>
        <item x="8"/>
        <item x="64"/>
        <item x="30"/>
        <item x="147"/>
        <item x="89"/>
        <item x="174"/>
        <item x="286"/>
        <item x="133"/>
        <item x="104"/>
        <item x="212"/>
        <item x="4"/>
        <item x="398"/>
        <item x="308"/>
        <item x="290"/>
        <item x="84"/>
        <item x="267"/>
        <item x="73"/>
        <item x="261"/>
        <item x="20"/>
        <item x="236"/>
        <item x="153"/>
        <item x="163"/>
        <item x="159"/>
        <item x="326"/>
        <item x="80"/>
        <item x="23"/>
        <item x="368"/>
        <item x="202"/>
        <item x="239"/>
        <item x="33"/>
        <item x="60"/>
        <item x="0"/>
        <item x="41"/>
        <item x="228"/>
        <item x="268"/>
        <item x="70"/>
        <item x="177"/>
        <item x="209"/>
        <item x="17"/>
        <item x="189"/>
        <item x="383"/>
        <item x="344"/>
        <item x="185"/>
        <item x="172"/>
        <item x="377"/>
        <item x="304"/>
        <item x="22"/>
        <item x="49"/>
        <item x="5"/>
        <item x="253"/>
        <item x="113"/>
        <item x="206"/>
        <item x="349"/>
        <item x="354"/>
        <item x="312"/>
        <item x="71"/>
        <item x="144"/>
        <item x="257"/>
        <item x="50"/>
        <item x="366"/>
        <item x="378"/>
        <item x="255"/>
        <item x="190"/>
        <item x="39"/>
        <item x="109"/>
        <item x="132"/>
        <item x="199"/>
        <item x="186"/>
        <item x="345"/>
        <item x="117"/>
        <item x="333"/>
        <item x="180"/>
        <item x="318"/>
        <item x="310"/>
        <item x="86"/>
        <item x="371"/>
        <item x="393"/>
        <item x="315"/>
        <item x="271"/>
        <item x="37"/>
        <item x="99"/>
        <item x="54"/>
        <item x="263"/>
        <item x="12"/>
        <item x="111"/>
        <item x="105"/>
        <item x="149"/>
        <item x="355"/>
        <item x="52"/>
        <item x="339"/>
        <item x="384"/>
        <item x="386"/>
        <item x="11"/>
        <item x="38"/>
        <item x="327"/>
        <item x="1"/>
        <item x="373"/>
        <item x="299"/>
        <item x="348"/>
        <item x="287"/>
        <item x="31"/>
        <item x="195"/>
        <item x="179"/>
        <item x="246"/>
        <item x="165"/>
        <item x="24"/>
        <item x="307"/>
        <item x="154"/>
        <item x="313"/>
        <item x="141"/>
        <item x="281"/>
        <item x="223"/>
        <item x="278"/>
        <item x="301"/>
        <item x="323"/>
        <item x="205"/>
        <item x="362"/>
        <item x="374"/>
        <item x="359"/>
        <item x="128"/>
        <item x="140"/>
        <item x="294"/>
        <item x="277"/>
        <item x="114"/>
        <item x="320"/>
        <item x="26"/>
        <item x="397"/>
        <item x="396"/>
        <item x="289"/>
        <item x="28"/>
        <item x="220"/>
        <item x="44"/>
        <item x="251"/>
        <item x="235"/>
        <item x="75"/>
        <item x="276"/>
        <item x="390"/>
        <item x="55"/>
        <item x="74"/>
        <item x="40"/>
        <item x="143"/>
        <item x="391"/>
        <item x="302"/>
        <item x="106"/>
        <item x="218"/>
        <item x="351"/>
        <item x="321"/>
        <item x="213"/>
        <item x="347"/>
        <item x="122"/>
        <item x="382"/>
        <item x="356"/>
        <item x="203"/>
        <item x="330"/>
        <item x="34"/>
        <item x="325"/>
        <item x="245"/>
        <item x="130"/>
        <item x="340"/>
        <item x="183"/>
        <item x="115"/>
        <item x="280"/>
        <item x="222"/>
        <item x="343"/>
        <item x="93"/>
        <item x="161"/>
        <item x="188"/>
        <item x="96"/>
        <item x="324"/>
        <item x="264"/>
        <item x="285"/>
        <item x="95"/>
        <item x="279"/>
        <item x="244"/>
        <item x="231"/>
        <item x="200"/>
        <item x="94"/>
        <item x="258"/>
        <item x="129"/>
        <item x="62"/>
        <item x="207"/>
        <item x="369"/>
        <item x="243"/>
        <item x="118"/>
        <item x="69"/>
        <item x="260"/>
        <item x="67"/>
        <item x="370"/>
        <item x="158"/>
        <item x="19"/>
        <item x="119"/>
        <item x="265"/>
        <item x="331"/>
        <item x="402"/>
        <item x="127"/>
        <item x="148"/>
        <item x="9"/>
        <item x="131"/>
        <item x="187"/>
        <item x="48"/>
        <item x="221"/>
        <item x="296"/>
        <item x="157"/>
        <item x="137"/>
        <item x="229"/>
        <item x="274"/>
        <item x="352"/>
        <item x="365"/>
        <item x="350"/>
        <item x="112"/>
        <item x="58"/>
        <item x="225"/>
        <item t="default"/>
      </items>
    </pivotField>
    <pivotField showAll="0">
      <items count="6">
        <item x="2"/>
        <item x="4"/>
        <item x="0"/>
        <item x="1"/>
        <item x="3"/>
        <item t="default"/>
      </items>
    </pivotField>
    <pivotField showAll="0"/>
    <pivotField showAll="0">
      <items count="13">
        <item x="5"/>
        <item x="1"/>
        <item x="6"/>
        <item x="2"/>
        <item x="9"/>
        <item x="0"/>
        <item x="7"/>
        <item x="8"/>
        <item x="3"/>
        <item x="11"/>
        <item x="10"/>
        <item x="4"/>
        <item t="default"/>
      </items>
    </pivotField>
    <pivotField showAll="0"/>
    <pivotField showAll="0"/>
    <pivotField showAll="0"/>
    <pivotField showAll="0"/>
    <pivotField showAll="0">
      <items count="10">
        <item x="6"/>
        <item x="0"/>
        <item x="2"/>
        <item x="4"/>
        <item x="5"/>
        <item x="7"/>
        <item x="1"/>
        <item x="8"/>
        <item x="3"/>
        <item t="default"/>
      </items>
    </pivotField>
    <pivotField showAll="0"/>
    <pivotField numFmtId="3" showAll="0"/>
    <pivotField numFmtId="3" showAll="0"/>
    <pivotField showAll="0"/>
    <pivotField numFmtId="3" showAll="0"/>
    <pivotField dataField="1" showAll="0"/>
    <pivotField numFmtId="3"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Total Sales Value" fld="15"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0D3A7F-262A-438D-8C71-A4D21D8CD9C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 Cost + Sales">
  <location ref="A19:C25" firstHeaderRow="0" firstDataRow="1" firstDataCol="1"/>
  <pivotFields count="21">
    <pivotField showAll="0"/>
    <pivotField numFmtId="14" showAll="0">
      <items count="404">
        <item x="98"/>
        <item x="298"/>
        <item x="2"/>
        <item x="29"/>
        <item x="14"/>
        <item x="208"/>
        <item x="364"/>
        <item x="335"/>
        <item x="175"/>
        <item x="121"/>
        <item x="173"/>
        <item x="63"/>
        <item x="134"/>
        <item x="145"/>
        <item x="232"/>
        <item x="3"/>
        <item x="135"/>
        <item x="82"/>
        <item x="139"/>
        <item x="399"/>
        <item x="193"/>
        <item x="27"/>
        <item x="197"/>
        <item x="219"/>
        <item x="16"/>
        <item x="36"/>
        <item x="224"/>
        <item x="400"/>
        <item x="110"/>
        <item x="238"/>
        <item x="72"/>
        <item x="317"/>
        <item x="360"/>
        <item x="337"/>
        <item x="191"/>
        <item x="211"/>
        <item x="6"/>
        <item x="292"/>
        <item x="178"/>
        <item x="241"/>
        <item x="151"/>
        <item x="166"/>
        <item x="392"/>
        <item x="273"/>
        <item x="57"/>
        <item x="233"/>
        <item x="230"/>
        <item x="216"/>
        <item x="103"/>
        <item x="291"/>
        <item x="250"/>
        <item x="116"/>
        <item x="107"/>
        <item x="201"/>
        <item x="385"/>
        <item x="192"/>
        <item x="357"/>
        <item x="256"/>
        <item x="332"/>
        <item x="102"/>
        <item x="79"/>
        <item x="328"/>
        <item x="376"/>
        <item x="295"/>
        <item x="43"/>
        <item x="83"/>
        <item x="125"/>
        <item x="334"/>
        <item x="198"/>
        <item x="138"/>
        <item x="53"/>
        <item x="59"/>
        <item x="394"/>
        <item x="7"/>
        <item x="169"/>
        <item x="363"/>
        <item x="123"/>
        <item x="35"/>
        <item x="152"/>
        <item x="167"/>
        <item x="87"/>
        <item x="259"/>
        <item x="275"/>
        <item x="170"/>
        <item x="361"/>
        <item x="303"/>
        <item x="108"/>
        <item x="300"/>
        <item x="358"/>
        <item x="217"/>
        <item x="15"/>
        <item x="78"/>
        <item x="237"/>
        <item x="210"/>
        <item x="316"/>
        <item x="242"/>
        <item x="375"/>
        <item x="10"/>
        <item x="61"/>
        <item x="234"/>
        <item x="150"/>
        <item x="381"/>
        <item x="293"/>
        <item x="126"/>
        <item x="309"/>
        <item x="269"/>
        <item x="196"/>
        <item x="248"/>
        <item x="160"/>
        <item x="97"/>
        <item x="120"/>
        <item x="342"/>
        <item x="65"/>
        <item x="401"/>
        <item x="336"/>
        <item x="252"/>
        <item x="88"/>
        <item x="101"/>
        <item x="284"/>
        <item x="176"/>
        <item x="204"/>
        <item x="389"/>
        <item x="240"/>
        <item x="68"/>
        <item x="100"/>
        <item x="25"/>
        <item x="341"/>
        <item x="47"/>
        <item x="124"/>
        <item x="306"/>
        <item x="85"/>
        <item x="380"/>
        <item x="379"/>
        <item x="338"/>
        <item x="283"/>
        <item x="18"/>
        <item x="249"/>
        <item x="91"/>
        <item x="254"/>
        <item x="168"/>
        <item x="215"/>
        <item x="272"/>
        <item x="288"/>
        <item x="214"/>
        <item x="90"/>
        <item x="21"/>
        <item x="227"/>
        <item x="142"/>
        <item x="314"/>
        <item x="162"/>
        <item x="322"/>
        <item x="181"/>
        <item x="247"/>
        <item x="387"/>
        <item x="45"/>
        <item x="270"/>
        <item x="92"/>
        <item x="226"/>
        <item x="262"/>
        <item x="266"/>
        <item x="311"/>
        <item x="46"/>
        <item x="32"/>
        <item x="388"/>
        <item x="184"/>
        <item x="66"/>
        <item x="164"/>
        <item x="282"/>
        <item x="329"/>
        <item x="346"/>
        <item x="136"/>
        <item x="182"/>
        <item x="156"/>
        <item x="297"/>
        <item x="395"/>
        <item x="367"/>
        <item x="353"/>
        <item x="194"/>
        <item x="13"/>
        <item x="77"/>
        <item x="171"/>
        <item x="319"/>
        <item x="372"/>
        <item x="76"/>
        <item x="155"/>
        <item x="305"/>
        <item x="42"/>
        <item x="56"/>
        <item x="81"/>
        <item x="146"/>
        <item x="51"/>
        <item x="8"/>
        <item x="64"/>
        <item x="30"/>
        <item x="147"/>
        <item x="89"/>
        <item x="174"/>
        <item x="286"/>
        <item x="133"/>
        <item x="104"/>
        <item x="212"/>
        <item x="4"/>
        <item x="398"/>
        <item x="308"/>
        <item x="290"/>
        <item x="84"/>
        <item x="267"/>
        <item x="73"/>
        <item x="261"/>
        <item x="20"/>
        <item x="236"/>
        <item x="153"/>
        <item x="163"/>
        <item x="159"/>
        <item x="326"/>
        <item x="80"/>
        <item x="23"/>
        <item x="368"/>
        <item x="202"/>
        <item x="239"/>
        <item x="33"/>
        <item x="60"/>
        <item x="0"/>
        <item x="41"/>
        <item x="228"/>
        <item x="268"/>
        <item x="70"/>
        <item x="177"/>
        <item x="209"/>
        <item x="17"/>
        <item x="189"/>
        <item x="383"/>
        <item x="344"/>
        <item x="185"/>
        <item x="172"/>
        <item x="377"/>
        <item x="304"/>
        <item x="22"/>
        <item x="49"/>
        <item x="5"/>
        <item x="253"/>
        <item x="113"/>
        <item x="206"/>
        <item x="349"/>
        <item x="354"/>
        <item x="312"/>
        <item x="71"/>
        <item x="144"/>
        <item x="257"/>
        <item x="50"/>
        <item x="366"/>
        <item x="378"/>
        <item x="255"/>
        <item x="190"/>
        <item x="39"/>
        <item x="109"/>
        <item x="132"/>
        <item x="199"/>
        <item x="186"/>
        <item x="345"/>
        <item x="117"/>
        <item x="333"/>
        <item x="180"/>
        <item x="318"/>
        <item x="310"/>
        <item x="86"/>
        <item x="371"/>
        <item x="393"/>
        <item x="315"/>
        <item x="271"/>
        <item x="37"/>
        <item x="99"/>
        <item x="54"/>
        <item x="263"/>
        <item x="12"/>
        <item x="111"/>
        <item x="105"/>
        <item x="149"/>
        <item x="355"/>
        <item x="52"/>
        <item x="339"/>
        <item x="384"/>
        <item x="386"/>
        <item x="11"/>
        <item x="38"/>
        <item x="327"/>
        <item x="1"/>
        <item x="373"/>
        <item x="299"/>
        <item x="348"/>
        <item x="287"/>
        <item x="31"/>
        <item x="195"/>
        <item x="179"/>
        <item x="246"/>
        <item x="165"/>
        <item x="24"/>
        <item x="307"/>
        <item x="154"/>
        <item x="313"/>
        <item x="141"/>
        <item x="281"/>
        <item x="223"/>
        <item x="278"/>
        <item x="301"/>
        <item x="323"/>
        <item x="205"/>
        <item x="362"/>
        <item x="374"/>
        <item x="359"/>
        <item x="128"/>
        <item x="140"/>
        <item x="294"/>
        <item x="277"/>
        <item x="114"/>
        <item x="320"/>
        <item x="26"/>
        <item x="397"/>
        <item x="396"/>
        <item x="289"/>
        <item x="28"/>
        <item x="220"/>
        <item x="44"/>
        <item x="251"/>
        <item x="235"/>
        <item x="75"/>
        <item x="276"/>
        <item x="390"/>
        <item x="55"/>
        <item x="74"/>
        <item x="40"/>
        <item x="143"/>
        <item x="391"/>
        <item x="302"/>
        <item x="106"/>
        <item x="218"/>
        <item x="351"/>
        <item x="321"/>
        <item x="213"/>
        <item x="347"/>
        <item x="122"/>
        <item x="382"/>
        <item x="356"/>
        <item x="203"/>
        <item x="330"/>
        <item x="34"/>
        <item x="325"/>
        <item x="245"/>
        <item x="130"/>
        <item x="340"/>
        <item x="183"/>
        <item x="115"/>
        <item x="280"/>
        <item x="222"/>
        <item x="343"/>
        <item x="93"/>
        <item x="161"/>
        <item x="188"/>
        <item x="96"/>
        <item x="324"/>
        <item x="264"/>
        <item x="285"/>
        <item x="95"/>
        <item x="279"/>
        <item x="244"/>
        <item x="231"/>
        <item x="200"/>
        <item x="94"/>
        <item x="258"/>
        <item x="129"/>
        <item x="62"/>
        <item x="207"/>
        <item x="369"/>
        <item x="243"/>
        <item x="118"/>
        <item x="69"/>
        <item x="260"/>
        <item x="67"/>
        <item x="370"/>
        <item x="158"/>
        <item x="19"/>
        <item x="119"/>
        <item x="265"/>
        <item x="331"/>
        <item x="402"/>
        <item x="127"/>
        <item x="148"/>
        <item x="9"/>
        <item x="131"/>
        <item x="187"/>
        <item x="48"/>
        <item x="221"/>
        <item x="296"/>
        <item x="157"/>
        <item x="137"/>
        <item x="229"/>
        <item x="274"/>
        <item x="352"/>
        <item x="365"/>
        <item x="350"/>
        <item x="112"/>
        <item x="58"/>
        <item x="225"/>
        <item t="default"/>
      </items>
    </pivotField>
    <pivotField showAll="0">
      <items count="6">
        <item x="2"/>
        <item x="4"/>
        <item x="0"/>
        <item x="1"/>
        <item x="3"/>
        <item t="default"/>
      </items>
    </pivotField>
    <pivotField showAll="0"/>
    <pivotField showAll="0">
      <items count="13">
        <item x="5"/>
        <item x="1"/>
        <item x="6"/>
        <item x="2"/>
        <item x="9"/>
        <item x="0"/>
        <item x="7"/>
        <item x="8"/>
        <item x="3"/>
        <item x="11"/>
        <item x="10"/>
        <item x="4"/>
        <item t="default"/>
      </items>
    </pivotField>
    <pivotField showAll="0"/>
    <pivotField showAll="0"/>
    <pivotField axis="axisRow" showAll="0">
      <items count="6">
        <item x="4"/>
        <item x="0"/>
        <item x="2"/>
        <item x="1"/>
        <item x="3"/>
        <item t="default"/>
      </items>
    </pivotField>
    <pivotField showAll="0"/>
    <pivotField showAll="0">
      <items count="10">
        <item x="6"/>
        <item x="0"/>
        <item x="2"/>
        <item x="4"/>
        <item x="5"/>
        <item x="7"/>
        <item x="1"/>
        <item x="8"/>
        <item x="3"/>
        <item t="default"/>
      </items>
    </pivotField>
    <pivotField showAll="0"/>
    <pivotField numFmtId="3" showAll="0"/>
    <pivotField numFmtId="3" showAll="0"/>
    <pivotField showAll="0"/>
    <pivotField dataField="1" numFmtId="3" showAll="0"/>
    <pivotField dataField="1" showAll="0"/>
    <pivotField numFmtId="3" showAll="0"/>
    <pivotField numFmtId="10" showAll="0"/>
    <pivotField showAll="0" defaultSubtotal="0"/>
    <pivotField showAll="0" defaultSubtotal="0"/>
    <pivotField showAll="0" defaultSubtotal="0">
      <items count="7">
        <item x="0"/>
        <item x="1"/>
        <item x="2"/>
        <item x="3"/>
        <item x="4"/>
        <item x="5"/>
        <item x="6"/>
      </items>
    </pivotField>
  </pivotFields>
  <rowFields count="1">
    <field x="7"/>
  </rowFields>
  <rowItems count="6">
    <i>
      <x/>
    </i>
    <i>
      <x v="1"/>
    </i>
    <i>
      <x v="2"/>
    </i>
    <i>
      <x v="3"/>
    </i>
    <i>
      <x v="4"/>
    </i>
    <i t="grand">
      <x/>
    </i>
  </rowItems>
  <colFields count="1">
    <field x="-2"/>
  </colFields>
  <colItems count="2">
    <i>
      <x/>
    </i>
    <i i="1">
      <x v="1"/>
    </i>
  </colItems>
  <dataFields count="2">
    <dataField name="Sum of Cost Per Unit" fld="14" baseField="0" baseItem="0"/>
    <dataField name="Sum of Total Sales Value" fld="15" baseField="0" baseItem="0"/>
  </dataFields>
  <formats count="1">
    <format dxfId="5">
      <pivotArea dataOnly="0"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EEB2E8B-04BC-47FF-B2DA-DB880A5EC73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 Wise Sales">
  <location ref="A11:B17" firstHeaderRow="1" firstDataRow="1" firstDataCol="1"/>
  <pivotFields count="21">
    <pivotField showAll="0"/>
    <pivotField numFmtId="14" showAll="0">
      <items count="404">
        <item x="98"/>
        <item x="298"/>
        <item x="2"/>
        <item x="29"/>
        <item x="14"/>
        <item x="208"/>
        <item x="364"/>
        <item x="335"/>
        <item x="175"/>
        <item x="121"/>
        <item x="173"/>
        <item x="63"/>
        <item x="134"/>
        <item x="145"/>
        <item x="232"/>
        <item x="3"/>
        <item x="135"/>
        <item x="82"/>
        <item x="139"/>
        <item x="399"/>
        <item x="193"/>
        <item x="27"/>
        <item x="197"/>
        <item x="219"/>
        <item x="16"/>
        <item x="36"/>
        <item x="224"/>
        <item x="400"/>
        <item x="110"/>
        <item x="238"/>
        <item x="72"/>
        <item x="317"/>
        <item x="360"/>
        <item x="337"/>
        <item x="191"/>
        <item x="211"/>
        <item x="6"/>
        <item x="292"/>
        <item x="178"/>
        <item x="241"/>
        <item x="151"/>
        <item x="166"/>
        <item x="392"/>
        <item x="273"/>
        <item x="57"/>
        <item x="233"/>
        <item x="230"/>
        <item x="216"/>
        <item x="103"/>
        <item x="291"/>
        <item x="250"/>
        <item x="116"/>
        <item x="107"/>
        <item x="201"/>
        <item x="385"/>
        <item x="192"/>
        <item x="357"/>
        <item x="256"/>
        <item x="332"/>
        <item x="102"/>
        <item x="79"/>
        <item x="328"/>
        <item x="376"/>
        <item x="295"/>
        <item x="43"/>
        <item x="83"/>
        <item x="125"/>
        <item x="334"/>
        <item x="198"/>
        <item x="138"/>
        <item x="53"/>
        <item x="59"/>
        <item x="394"/>
        <item x="7"/>
        <item x="169"/>
        <item x="363"/>
        <item x="123"/>
        <item x="35"/>
        <item x="152"/>
        <item x="167"/>
        <item x="87"/>
        <item x="259"/>
        <item x="275"/>
        <item x="170"/>
        <item x="361"/>
        <item x="303"/>
        <item x="108"/>
        <item x="300"/>
        <item x="358"/>
        <item x="217"/>
        <item x="15"/>
        <item x="78"/>
        <item x="237"/>
        <item x="210"/>
        <item x="316"/>
        <item x="242"/>
        <item x="375"/>
        <item x="10"/>
        <item x="61"/>
        <item x="234"/>
        <item x="150"/>
        <item x="381"/>
        <item x="293"/>
        <item x="126"/>
        <item x="309"/>
        <item x="269"/>
        <item x="196"/>
        <item x="248"/>
        <item x="160"/>
        <item x="97"/>
        <item x="120"/>
        <item x="342"/>
        <item x="65"/>
        <item x="401"/>
        <item x="336"/>
        <item x="252"/>
        <item x="88"/>
        <item x="101"/>
        <item x="284"/>
        <item x="176"/>
        <item x="204"/>
        <item x="389"/>
        <item x="240"/>
        <item x="68"/>
        <item x="100"/>
        <item x="25"/>
        <item x="341"/>
        <item x="47"/>
        <item x="124"/>
        <item x="306"/>
        <item x="85"/>
        <item x="380"/>
        <item x="379"/>
        <item x="338"/>
        <item x="283"/>
        <item x="18"/>
        <item x="249"/>
        <item x="91"/>
        <item x="254"/>
        <item x="168"/>
        <item x="215"/>
        <item x="272"/>
        <item x="288"/>
        <item x="214"/>
        <item x="90"/>
        <item x="21"/>
        <item x="227"/>
        <item x="142"/>
        <item x="314"/>
        <item x="162"/>
        <item x="322"/>
        <item x="181"/>
        <item x="247"/>
        <item x="387"/>
        <item x="45"/>
        <item x="270"/>
        <item x="92"/>
        <item x="226"/>
        <item x="262"/>
        <item x="266"/>
        <item x="311"/>
        <item x="46"/>
        <item x="32"/>
        <item x="388"/>
        <item x="184"/>
        <item x="66"/>
        <item x="164"/>
        <item x="282"/>
        <item x="329"/>
        <item x="346"/>
        <item x="136"/>
        <item x="182"/>
        <item x="156"/>
        <item x="297"/>
        <item x="395"/>
        <item x="367"/>
        <item x="353"/>
        <item x="194"/>
        <item x="13"/>
        <item x="77"/>
        <item x="171"/>
        <item x="319"/>
        <item x="372"/>
        <item x="76"/>
        <item x="155"/>
        <item x="305"/>
        <item x="42"/>
        <item x="56"/>
        <item x="81"/>
        <item x="146"/>
        <item x="51"/>
        <item x="8"/>
        <item x="64"/>
        <item x="30"/>
        <item x="147"/>
        <item x="89"/>
        <item x="174"/>
        <item x="286"/>
        <item x="133"/>
        <item x="104"/>
        <item x="212"/>
        <item x="4"/>
        <item x="398"/>
        <item x="308"/>
        <item x="290"/>
        <item x="84"/>
        <item x="267"/>
        <item x="73"/>
        <item x="261"/>
        <item x="20"/>
        <item x="236"/>
        <item x="153"/>
        <item x="163"/>
        <item x="159"/>
        <item x="326"/>
        <item x="80"/>
        <item x="23"/>
        <item x="368"/>
        <item x="202"/>
        <item x="239"/>
        <item x="33"/>
        <item x="60"/>
        <item x="0"/>
        <item x="41"/>
        <item x="228"/>
        <item x="268"/>
        <item x="70"/>
        <item x="177"/>
        <item x="209"/>
        <item x="17"/>
        <item x="189"/>
        <item x="383"/>
        <item x="344"/>
        <item x="185"/>
        <item x="172"/>
        <item x="377"/>
        <item x="304"/>
        <item x="22"/>
        <item x="49"/>
        <item x="5"/>
        <item x="253"/>
        <item x="113"/>
        <item x="206"/>
        <item x="349"/>
        <item x="354"/>
        <item x="312"/>
        <item x="71"/>
        <item x="144"/>
        <item x="257"/>
        <item x="50"/>
        <item x="366"/>
        <item x="378"/>
        <item x="255"/>
        <item x="190"/>
        <item x="39"/>
        <item x="109"/>
        <item x="132"/>
        <item x="199"/>
        <item x="186"/>
        <item x="345"/>
        <item x="117"/>
        <item x="333"/>
        <item x="180"/>
        <item x="318"/>
        <item x="310"/>
        <item x="86"/>
        <item x="371"/>
        <item x="393"/>
        <item x="315"/>
        <item x="271"/>
        <item x="37"/>
        <item x="99"/>
        <item x="54"/>
        <item x="263"/>
        <item x="12"/>
        <item x="111"/>
        <item x="105"/>
        <item x="149"/>
        <item x="355"/>
        <item x="52"/>
        <item x="339"/>
        <item x="384"/>
        <item x="386"/>
        <item x="11"/>
        <item x="38"/>
        <item x="327"/>
        <item x="1"/>
        <item x="373"/>
        <item x="299"/>
        <item x="348"/>
        <item x="287"/>
        <item x="31"/>
        <item x="195"/>
        <item x="179"/>
        <item x="246"/>
        <item x="165"/>
        <item x="24"/>
        <item x="307"/>
        <item x="154"/>
        <item x="313"/>
        <item x="141"/>
        <item x="281"/>
        <item x="223"/>
        <item x="278"/>
        <item x="301"/>
        <item x="323"/>
        <item x="205"/>
        <item x="362"/>
        <item x="374"/>
        <item x="359"/>
        <item x="128"/>
        <item x="140"/>
        <item x="294"/>
        <item x="277"/>
        <item x="114"/>
        <item x="320"/>
        <item x="26"/>
        <item x="397"/>
        <item x="396"/>
        <item x="289"/>
        <item x="28"/>
        <item x="220"/>
        <item x="44"/>
        <item x="251"/>
        <item x="235"/>
        <item x="75"/>
        <item x="276"/>
        <item x="390"/>
        <item x="55"/>
        <item x="74"/>
        <item x="40"/>
        <item x="143"/>
        <item x="391"/>
        <item x="302"/>
        <item x="106"/>
        <item x="218"/>
        <item x="351"/>
        <item x="321"/>
        <item x="213"/>
        <item x="347"/>
        <item x="122"/>
        <item x="382"/>
        <item x="356"/>
        <item x="203"/>
        <item x="330"/>
        <item x="34"/>
        <item x="325"/>
        <item x="245"/>
        <item x="130"/>
        <item x="340"/>
        <item x="183"/>
        <item x="115"/>
        <item x="280"/>
        <item x="222"/>
        <item x="343"/>
        <item x="93"/>
        <item x="161"/>
        <item x="188"/>
        <item x="96"/>
        <item x="324"/>
        <item x="264"/>
        <item x="285"/>
        <item x="95"/>
        <item x="279"/>
        <item x="244"/>
        <item x="231"/>
        <item x="200"/>
        <item x="94"/>
        <item x="258"/>
        <item x="129"/>
        <item x="62"/>
        <item x="207"/>
        <item x="369"/>
        <item x="243"/>
        <item x="118"/>
        <item x="69"/>
        <item x="260"/>
        <item x="67"/>
        <item x="370"/>
        <item x="158"/>
        <item x="19"/>
        <item x="119"/>
        <item x="265"/>
        <item x="331"/>
        <item x="402"/>
        <item x="127"/>
        <item x="148"/>
        <item x="9"/>
        <item x="131"/>
        <item x="187"/>
        <item x="48"/>
        <item x="221"/>
        <item x="296"/>
        <item x="157"/>
        <item x="137"/>
        <item x="229"/>
        <item x="274"/>
        <item x="352"/>
        <item x="365"/>
        <item x="350"/>
        <item x="112"/>
        <item x="58"/>
        <item x="225"/>
        <item t="default"/>
      </items>
    </pivotField>
    <pivotField showAll="0">
      <items count="6">
        <item x="2"/>
        <item x="4"/>
        <item x="0"/>
        <item x="1"/>
        <item x="3"/>
        <item t="default"/>
      </items>
    </pivotField>
    <pivotField showAll="0"/>
    <pivotField showAll="0">
      <items count="13">
        <item x="5"/>
        <item x="1"/>
        <item x="6"/>
        <item x="2"/>
        <item x="9"/>
        <item x="0"/>
        <item x="7"/>
        <item x="8"/>
        <item x="3"/>
        <item x="11"/>
        <item x="10"/>
        <item x="4"/>
        <item t="default"/>
      </items>
    </pivotField>
    <pivotField showAll="0"/>
    <pivotField showAll="0"/>
    <pivotField axis="axisRow" showAll="0">
      <items count="6">
        <item x="4"/>
        <item x="0"/>
        <item x="2"/>
        <item x="1"/>
        <item x="3"/>
        <item t="default"/>
      </items>
    </pivotField>
    <pivotField showAll="0"/>
    <pivotField showAll="0">
      <items count="10">
        <item x="6"/>
        <item x="0"/>
        <item x="2"/>
        <item x="4"/>
        <item x="5"/>
        <item x="7"/>
        <item x="1"/>
        <item x="8"/>
        <item x="3"/>
        <item t="default"/>
      </items>
    </pivotField>
    <pivotField showAll="0"/>
    <pivotField numFmtId="3" showAll="0"/>
    <pivotField numFmtId="3" showAll="0"/>
    <pivotField showAll="0"/>
    <pivotField numFmtId="3" showAll="0"/>
    <pivotField dataField="1" showAll="0"/>
    <pivotField numFmtId="3"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7"/>
  </rowFields>
  <rowItems count="6">
    <i>
      <x/>
    </i>
    <i>
      <x v="1"/>
    </i>
    <i>
      <x v="2"/>
    </i>
    <i>
      <x v="3"/>
    </i>
    <i>
      <x v="4"/>
    </i>
    <i t="grand">
      <x/>
    </i>
  </rowItems>
  <colItems count="1">
    <i/>
  </colItems>
  <dataFields count="1">
    <dataField name="Sum of Total Sales Value" fld="15" baseField="0" baseItem="0" numFmtId="164"/>
  </dataFields>
  <formats count="2">
    <format dxfId="6">
      <pivotArea outline="0" collapsedLevelsAreSubtotals="1" fieldPosition="0"/>
    </format>
    <format dxfId="7">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0"/>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4"/>
          </reference>
        </references>
      </pivotArea>
    </chartFormat>
    <chartFormat chart="2" format="6">
      <pivotArea type="data" outline="0" fieldPosition="0">
        <references count="2">
          <reference field="4294967294" count="1" selected="0">
            <x v="0"/>
          </reference>
          <reference field="7" count="1" selected="0">
            <x v="2"/>
          </reference>
        </references>
      </pivotArea>
    </chartFormat>
    <chartFormat chart="2" format="7">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B39F7F-9C6F-491F-88A0-B39AB73167B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A36:C46" firstHeaderRow="0" firstDataRow="1" firstDataCol="1"/>
  <pivotFields count="21">
    <pivotField showAll="0"/>
    <pivotField numFmtId="14" showAll="0">
      <items count="404">
        <item x="98"/>
        <item x="298"/>
        <item x="2"/>
        <item x="29"/>
        <item x="14"/>
        <item x="208"/>
        <item x="364"/>
        <item x="335"/>
        <item x="175"/>
        <item x="121"/>
        <item x="173"/>
        <item x="63"/>
        <item x="134"/>
        <item x="145"/>
        <item x="232"/>
        <item x="3"/>
        <item x="135"/>
        <item x="82"/>
        <item x="139"/>
        <item x="399"/>
        <item x="193"/>
        <item x="27"/>
        <item x="197"/>
        <item x="219"/>
        <item x="16"/>
        <item x="36"/>
        <item x="224"/>
        <item x="400"/>
        <item x="110"/>
        <item x="238"/>
        <item x="72"/>
        <item x="317"/>
        <item x="360"/>
        <item x="337"/>
        <item x="191"/>
        <item x="211"/>
        <item x="6"/>
        <item x="292"/>
        <item x="178"/>
        <item x="241"/>
        <item x="151"/>
        <item x="166"/>
        <item x="392"/>
        <item x="273"/>
        <item x="57"/>
        <item x="233"/>
        <item x="230"/>
        <item x="216"/>
        <item x="103"/>
        <item x="291"/>
        <item x="250"/>
        <item x="116"/>
        <item x="107"/>
        <item x="201"/>
        <item x="385"/>
        <item x="192"/>
        <item x="357"/>
        <item x="256"/>
        <item x="332"/>
        <item x="102"/>
        <item x="79"/>
        <item x="328"/>
        <item x="376"/>
        <item x="295"/>
        <item x="43"/>
        <item x="83"/>
        <item x="125"/>
        <item x="334"/>
        <item x="198"/>
        <item x="138"/>
        <item x="53"/>
        <item x="59"/>
        <item x="394"/>
        <item x="7"/>
        <item x="169"/>
        <item x="363"/>
        <item x="123"/>
        <item x="35"/>
        <item x="152"/>
        <item x="167"/>
        <item x="87"/>
        <item x="259"/>
        <item x="275"/>
        <item x="170"/>
        <item x="361"/>
        <item x="303"/>
        <item x="108"/>
        <item x="300"/>
        <item x="358"/>
        <item x="217"/>
        <item x="15"/>
        <item x="78"/>
        <item x="237"/>
        <item x="210"/>
        <item x="316"/>
        <item x="242"/>
        <item x="375"/>
        <item x="10"/>
        <item x="61"/>
        <item x="234"/>
        <item x="150"/>
        <item x="381"/>
        <item x="293"/>
        <item x="126"/>
        <item x="309"/>
        <item x="269"/>
        <item x="196"/>
        <item x="248"/>
        <item x="160"/>
        <item x="97"/>
        <item x="120"/>
        <item x="342"/>
        <item x="65"/>
        <item x="401"/>
        <item x="336"/>
        <item x="252"/>
        <item x="88"/>
        <item x="101"/>
        <item x="284"/>
        <item x="176"/>
        <item x="204"/>
        <item x="389"/>
        <item x="240"/>
        <item x="68"/>
        <item x="100"/>
        <item x="25"/>
        <item x="341"/>
        <item x="47"/>
        <item x="124"/>
        <item x="306"/>
        <item x="85"/>
        <item x="380"/>
        <item x="379"/>
        <item x="338"/>
        <item x="283"/>
        <item x="18"/>
        <item x="249"/>
        <item x="91"/>
        <item x="254"/>
        <item x="168"/>
        <item x="215"/>
        <item x="272"/>
        <item x="288"/>
        <item x="214"/>
        <item x="90"/>
        <item x="21"/>
        <item x="227"/>
        <item x="142"/>
        <item x="314"/>
        <item x="162"/>
        <item x="322"/>
        <item x="181"/>
        <item x="247"/>
        <item x="387"/>
        <item x="45"/>
        <item x="270"/>
        <item x="92"/>
        <item x="226"/>
        <item x="262"/>
        <item x="266"/>
        <item x="311"/>
        <item x="46"/>
        <item x="32"/>
        <item x="388"/>
        <item x="184"/>
        <item x="66"/>
        <item x="164"/>
        <item x="282"/>
        <item x="329"/>
        <item x="346"/>
        <item x="136"/>
        <item x="182"/>
        <item x="156"/>
        <item x="297"/>
        <item x="395"/>
        <item x="367"/>
        <item x="353"/>
        <item x="194"/>
        <item x="13"/>
        <item x="77"/>
        <item x="171"/>
        <item x="319"/>
        <item x="372"/>
        <item x="76"/>
        <item x="155"/>
        <item x="305"/>
        <item x="42"/>
        <item x="56"/>
        <item x="81"/>
        <item x="146"/>
        <item x="51"/>
        <item x="8"/>
        <item x="64"/>
        <item x="30"/>
        <item x="147"/>
        <item x="89"/>
        <item x="174"/>
        <item x="286"/>
        <item x="133"/>
        <item x="104"/>
        <item x="212"/>
        <item x="4"/>
        <item x="398"/>
        <item x="308"/>
        <item x="290"/>
        <item x="84"/>
        <item x="267"/>
        <item x="73"/>
        <item x="261"/>
        <item x="20"/>
        <item x="236"/>
        <item x="153"/>
        <item x="163"/>
        <item x="159"/>
        <item x="326"/>
        <item x="80"/>
        <item x="23"/>
        <item x="368"/>
        <item x="202"/>
        <item x="239"/>
        <item x="33"/>
        <item x="60"/>
        <item x="0"/>
        <item x="41"/>
        <item x="228"/>
        <item x="268"/>
        <item x="70"/>
        <item x="177"/>
        <item x="209"/>
        <item x="17"/>
        <item x="189"/>
        <item x="383"/>
        <item x="344"/>
        <item x="185"/>
        <item x="172"/>
        <item x="377"/>
        <item x="304"/>
        <item x="22"/>
        <item x="49"/>
        <item x="5"/>
        <item x="253"/>
        <item x="113"/>
        <item x="206"/>
        <item x="349"/>
        <item x="354"/>
        <item x="312"/>
        <item x="71"/>
        <item x="144"/>
        <item x="257"/>
        <item x="50"/>
        <item x="366"/>
        <item x="378"/>
        <item x="255"/>
        <item x="190"/>
        <item x="39"/>
        <item x="109"/>
        <item x="132"/>
        <item x="199"/>
        <item x="186"/>
        <item x="345"/>
        <item x="117"/>
        <item x="333"/>
        <item x="180"/>
        <item x="318"/>
        <item x="310"/>
        <item x="86"/>
        <item x="371"/>
        <item x="393"/>
        <item x="315"/>
        <item x="271"/>
        <item x="37"/>
        <item x="99"/>
        <item x="54"/>
        <item x="263"/>
        <item x="12"/>
        <item x="111"/>
        <item x="105"/>
        <item x="149"/>
        <item x="355"/>
        <item x="52"/>
        <item x="339"/>
        <item x="384"/>
        <item x="386"/>
        <item x="11"/>
        <item x="38"/>
        <item x="327"/>
        <item x="1"/>
        <item x="373"/>
        <item x="299"/>
        <item x="348"/>
        <item x="287"/>
        <item x="31"/>
        <item x="195"/>
        <item x="179"/>
        <item x="246"/>
        <item x="165"/>
        <item x="24"/>
        <item x="307"/>
        <item x="154"/>
        <item x="313"/>
        <item x="141"/>
        <item x="281"/>
        <item x="223"/>
        <item x="278"/>
        <item x="301"/>
        <item x="323"/>
        <item x="205"/>
        <item x="362"/>
        <item x="374"/>
        <item x="359"/>
        <item x="128"/>
        <item x="140"/>
        <item x="294"/>
        <item x="277"/>
        <item x="114"/>
        <item x="320"/>
        <item x="26"/>
        <item x="397"/>
        <item x="396"/>
        <item x="289"/>
        <item x="28"/>
        <item x="220"/>
        <item x="44"/>
        <item x="251"/>
        <item x="235"/>
        <item x="75"/>
        <item x="276"/>
        <item x="390"/>
        <item x="55"/>
        <item x="74"/>
        <item x="40"/>
        <item x="143"/>
        <item x="391"/>
        <item x="302"/>
        <item x="106"/>
        <item x="218"/>
        <item x="351"/>
        <item x="321"/>
        <item x="213"/>
        <item x="347"/>
        <item x="122"/>
        <item x="382"/>
        <item x="356"/>
        <item x="203"/>
        <item x="330"/>
        <item x="34"/>
        <item x="325"/>
        <item x="245"/>
        <item x="130"/>
        <item x="340"/>
        <item x="183"/>
        <item x="115"/>
        <item x="280"/>
        <item x="222"/>
        <item x="343"/>
        <item x="93"/>
        <item x="161"/>
        <item x="188"/>
        <item x="96"/>
        <item x="324"/>
        <item x="264"/>
        <item x="285"/>
        <item x="95"/>
        <item x="279"/>
        <item x="244"/>
        <item x="231"/>
        <item x="200"/>
        <item x="94"/>
        <item x="258"/>
        <item x="129"/>
        <item x="62"/>
        <item x="207"/>
        <item x="369"/>
        <item x="243"/>
        <item x="118"/>
        <item x="69"/>
        <item x="260"/>
        <item x="67"/>
        <item x="370"/>
        <item x="158"/>
        <item x="19"/>
        <item x="119"/>
        <item x="265"/>
        <item x="331"/>
        <item x="402"/>
        <item x="127"/>
        <item x="148"/>
        <item x="9"/>
        <item x="131"/>
        <item x="187"/>
        <item x="48"/>
        <item x="221"/>
        <item x="296"/>
        <item x="157"/>
        <item x="137"/>
        <item x="229"/>
        <item x="274"/>
        <item x="352"/>
        <item x="365"/>
        <item x="350"/>
        <item x="112"/>
        <item x="58"/>
        <item x="225"/>
        <item t="default"/>
      </items>
    </pivotField>
    <pivotField showAll="0">
      <items count="6">
        <item x="2"/>
        <item x="4"/>
        <item x="0"/>
        <item x="1"/>
        <item x="3"/>
        <item t="default"/>
      </items>
    </pivotField>
    <pivotField showAll="0"/>
    <pivotField showAll="0">
      <items count="13">
        <item x="5"/>
        <item x="1"/>
        <item x="6"/>
        <item x="2"/>
        <item x="9"/>
        <item x="0"/>
        <item x="7"/>
        <item x="8"/>
        <item x="3"/>
        <item x="11"/>
        <item x="10"/>
        <item x="4"/>
        <item t="default"/>
      </items>
    </pivotField>
    <pivotField showAll="0"/>
    <pivotField showAll="0"/>
    <pivotField showAll="0"/>
    <pivotField showAll="0"/>
    <pivotField axis="axisRow" showAll="0">
      <items count="10">
        <item x="6"/>
        <item x="0"/>
        <item x="2"/>
        <item x="4"/>
        <item x="5"/>
        <item x="7"/>
        <item x="1"/>
        <item x="8"/>
        <item x="3"/>
        <item t="default"/>
      </items>
    </pivotField>
    <pivotField showAll="0"/>
    <pivotField numFmtId="3" showAll="0"/>
    <pivotField numFmtId="3" showAll="0"/>
    <pivotField showAll="0"/>
    <pivotField dataField="1" numFmtId="3" showAll="0"/>
    <pivotField dataField="1" numFmtId="3" showAll="0"/>
    <pivotField numFmtId="3" showAll="0"/>
    <pivotField numFmtId="10" showAll="0"/>
    <pivotField showAll="0" defaultSubtotal="0"/>
    <pivotField showAll="0" defaultSubtotal="0"/>
    <pivotField showAll="0" defaultSubtotal="0">
      <items count="7">
        <item x="0"/>
        <item x="1"/>
        <item x="2"/>
        <item x="3"/>
        <item x="4"/>
        <item x="5"/>
        <item x="6"/>
      </items>
    </pivotField>
  </pivotFields>
  <rowFields count="1">
    <field x="9"/>
  </rowFields>
  <rowItems count="10">
    <i>
      <x/>
    </i>
    <i>
      <x v="1"/>
    </i>
    <i>
      <x v="2"/>
    </i>
    <i>
      <x v="3"/>
    </i>
    <i>
      <x v="4"/>
    </i>
    <i>
      <x v="5"/>
    </i>
    <i>
      <x v="6"/>
    </i>
    <i>
      <x v="7"/>
    </i>
    <i>
      <x v="8"/>
    </i>
    <i t="grand">
      <x/>
    </i>
  </rowItems>
  <colFields count="1">
    <field x="-2"/>
  </colFields>
  <colItems count="2">
    <i>
      <x/>
    </i>
    <i i="1">
      <x v="1"/>
    </i>
  </colItems>
  <dataFields count="2">
    <dataField name="Sum of Cost Per Unit" fld="14" baseField="0" baseItem="0"/>
    <dataField name="Sum of Total Sales Value" fld="15" baseField="0" baseItem="0"/>
  </dataFields>
  <formats count="2">
    <format dxfId="10">
      <pivotArea outline="0" collapsedLevelsAreSubtotals="1" fieldPosition="0"/>
    </format>
    <format dxfId="11">
      <pivotArea dataOnly="0" labelOnly="1" outline="0" fieldPosition="0">
        <references count="1">
          <reference field="4294967294" count="2">
            <x v="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0AE7FA-1F97-41D6-9136-AD7BA403A002}" name="PivotTable5" cacheId="1" applyNumberFormats="0" applyBorderFormats="0" applyFontFormats="0" applyPatternFormats="0" applyAlignmentFormats="0" applyWidthHeightFormats="1" dataCaption="Values" tag="31704885-b89c-4d9b-aace-251c36e16882" updatedVersion="8" minRefreshableVersion="3" useAutoFormatting="1" itemPrintTitles="1" createdVersion="8" indent="0" outline="1" outlineData="1" multipleFieldFilters="0">
  <location ref="A6:A1537" firstHeaderRow="1" firstDataRow="1" firstDataCol="1"/>
  <pivotFields count="4">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4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s>
    </pivotField>
  </pivotFields>
  <rowFields count="4">
    <field x="0"/>
    <field x="2"/>
    <field x="1"/>
    <field x="3"/>
  </rowFields>
  <rowItems count="1531">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r="3">
      <x v="29"/>
    </i>
    <i r="2">
      <x v="1"/>
    </i>
    <i r="3">
      <x v="30"/>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r="3">
      <x v="53"/>
    </i>
    <i r="3">
      <x v="54"/>
    </i>
    <i r="3">
      <x v="55"/>
    </i>
    <i r="3">
      <x v="56"/>
    </i>
    <i r="3">
      <x v="57"/>
    </i>
    <i r="3">
      <x v="58"/>
    </i>
    <i r="3">
      <x v="59"/>
    </i>
    <i r="3">
      <x v="60"/>
    </i>
    <i r="2">
      <x v="2"/>
    </i>
    <i r="3">
      <x v="61"/>
    </i>
    <i r="3">
      <x v="62"/>
    </i>
    <i r="3">
      <x v="63"/>
    </i>
    <i r="3">
      <x v="64"/>
    </i>
    <i r="3">
      <x v="65"/>
    </i>
    <i r="3">
      <x v="66"/>
    </i>
    <i r="3">
      <x v="67"/>
    </i>
    <i r="3">
      <x v="68"/>
    </i>
    <i r="3">
      <x v="69"/>
    </i>
    <i r="3">
      <x v="70"/>
    </i>
    <i r="3">
      <x v="71"/>
    </i>
    <i r="3">
      <x v="72"/>
    </i>
    <i r="3">
      <x v="73"/>
    </i>
    <i r="3">
      <x v="74"/>
    </i>
    <i r="3">
      <x v="75"/>
    </i>
    <i r="3">
      <x v="76"/>
    </i>
    <i r="3">
      <x v="77"/>
    </i>
    <i r="3">
      <x v="78"/>
    </i>
    <i r="3">
      <x v="79"/>
    </i>
    <i r="3">
      <x v="80"/>
    </i>
    <i r="3">
      <x v="81"/>
    </i>
    <i r="3">
      <x v="82"/>
    </i>
    <i r="3">
      <x v="83"/>
    </i>
    <i r="3">
      <x v="84"/>
    </i>
    <i r="3">
      <x v="85"/>
    </i>
    <i r="3">
      <x v="86"/>
    </i>
    <i r="3">
      <x v="87"/>
    </i>
    <i r="3">
      <x v="88"/>
    </i>
    <i r="3">
      <x v="89"/>
    </i>
    <i r="3">
      <x v="90"/>
    </i>
    <i r="1">
      <x v="1"/>
    </i>
    <i r="2">
      <x v="3"/>
    </i>
    <i r="3">
      <x v="91"/>
    </i>
    <i r="3">
      <x v="92"/>
    </i>
    <i r="3">
      <x v="93"/>
    </i>
    <i r="3">
      <x v="94"/>
    </i>
    <i r="3">
      <x v="95"/>
    </i>
    <i r="3">
      <x v="96"/>
    </i>
    <i r="3">
      <x v="97"/>
    </i>
    <i r="3">
      <x v="98"/>
    </i>
    <i r="3">
      <x v="99"/>
    </i>
    <i r="3">
      <x v="100"/>
    </i>
    <i r="3">
      <x v="101"/>
    </i>
    <i r="3">
      <x v="102"/>
    </i>
    <i r="3">
      <x v="103"/>
    </i>
    <i r="3">
      <x v="104"/>
    </i>
    <i r="3">
      <x v="105"/>
    </i>
    <i r="3">
      <x v="106"/>
    </i>
    <i r="3">
      <x v="107"/>
    </i>
    <i r="3">
      <x v="108"/>
    </i>
    <i r="3">
      <x v="109"/>
    </i>
    <i r="3">
      <x v="110"/>
    </i>
    <i r="3">
      <x v="111"/>
    </i>
    <i r="3">
      <x v="112"/>
    </i>
    <i r="3">
      <x v="113"/>
    </i>
    <i r="3">
      <x v="114"/>
    </i>
    <i r="3">
      <x v="115"/>
    </i>
    <i r="3">
      <x v="116"/>
    </i>
    <i r="3">
      <x v="117"/>
    </i>
    <i r="3">
      <x v="118"/>
    </i>
    <i r="3">
      <x v="119"/>
    </i>
    <i r="3">
      <x v="120"/>
    </i>
    <i r="3">
      <x v="121"/>
    </i>
    <i r="2">
      <x v="4"/>
    </i>
    <i r="3">
      <x v="122"/>
    </i>
    <i r="3">
      <x v="123"/>
    </i>
    <i r="3">
      <x v="124"/>
    </i>
    <i r="3">
      <x v="125"/>
    </i>
    <i r="3">
      <x v="126"/>
    </i>
    <i r="3">
      <x v="127"/>
    </i>
    <i r="3">
      <x v="128"/>
    </i>
    <i r="3">
      <x v="129"/>
    </i>
    <i r="3">
      <x v="130"/>
    </i>
    <i r="3">
      <x v="131"/>
    </i>
    <i r="3">
      <x v="132"/>
    </i>
    <i r="3">
      <x v="133"/>
    </i>
    <i r="3">
      <x v="134"/>
    </i>
    <i r="3">
      <x v="135"/>
    </i>
    <i r="3">
      <x v="136"/>
    </i>
    <i r="3">
      <x v="137"/>
    </i>
    <i r="3">
      <x v="138"/>
    </i>
    <i r="3">
      <x v="139"/>
    </i>
    <i r="3">
      <x v="140"/>
    </i>
    <i r="3">
      <x v="141"/>
    </i>
    <i r="3">
      <x v="142"/>
    </i>
    <i r="3">
      <x v="143"/>
    </i>
    <i r="3">
      <x v="144"/>
    </i>
    <i r="3">
      <x v="145"/>
    </i>
    <i r="3">
      <x v="146"/>
    </i>
    <i r="3">
      <x v="147"/>
    </i>
    <i r="3">
      <x v="148"/>
    </i>
    <i r="3">
      <x v="149"/>
    </i>
    <i r="3">
      <x v="150"/>
    </i>
    <i r="3">
      <x v="151"/>
    </i>
    <i r="3">
      <x v="152"/>
    </i>
    <i r="2">
      <x v="5"/>
    </i>
    <i r="3">
      <x v="153"/>
    </i>
    <i r="3">
      <x v="154"/>
    </i>
    <i r="3">
      <x v="155"/>
    </i>
    <i r="3">
      <x v="156"/>
    </i>
    <i r="3">
      <x v="157"/>
    </i>
    <i r="3">
      <x v="158"/>
    </i>
    <i r="3">
      <x v="159"/>
    </i>
    <i r="3">
      <x v="160"/>
    </i>
    <i r="3">
      <x v="161"/>
    </i>
    <i r="3">
      <x v="162"/>
    </i>
    <i r="3">
      <x v="163"/>
    </i>
    <i r="3">
      <x v="164"/>
    </i>
    <i r="3">
      <x v="165"/>
    </i>
    <i r="3">
      <x v="166"/>
    </i>
    <i r="3">
      <x v="167"/>
    </i>
    <i r="3">
      <x v="168"/>
    </i>
    <i r="3">
      <x v="169"/>
    </i>
    <i r="3">
      <x v="170"/>
    </i>
    <i r="3">
      <x v="171"/>
    </i>
    <i r="3">
      <x v="172"/>
    </i>
    <i r="3">
      <x v="173"/>
    </i>
    <i r="3">
      <x v="174"/>
    </i>
    <i r="3">
      <x v="175"/>
    </i>
    <i r="3">
      <x v="176"/>
    </i>
    <i r="3">
      <x v="177"/>
    </i>
    <i r="3">
      <x v="178"/>
    </i>
    <i r="3">
      <x v="179"/>
    </i>
    <i r="3">
      <x v="180"/>
    </i>
    <i r="3">
      <x v="181"/>
    </i>
    <i r="3">
      <x v="182"/>
    </i>
    <i r="1">
      <x v="2"/>
    </i>
    <i r="2">
      <x v="6"/>
    </i>
    <i r="3">
      <x v="183"/>
    </i>
    <i r="3">
      <x v="184"/>
    </i>
    <i r="3">
      <x v="185"/>
    </i>
    <i r="3">
      <x v="186"/>
    </i>
    <i r="3">
      <x v="187"/>
    </i>
    <i r="3">
      <x v="188"/>
    </i>
    <i r="3">
      <x v="189"/>
    </i>
    <i r="3">
      <x v="190"/>
    </i>
    <i r="3">
      <x v="191"/>
    </i>
    <i r="3">
      <x v="192"/>
    </i>
    <i r="3">
      <x v="193"/>
    </i>
    <i r="3">
      <x v="194"/>
    </i>
    <i r="3">
      <x v="195"/>
    </i>
    <i r="3">
      <x v="196"/>
    </i>
    <i r="3">
      <x v="197"/>
    </i>
    <i r="3">
      <x v="198"/>
    </i>
    <i r="3">
      <x v="199"/>
    </i>
    <i r="3">
      <x v="200"/>
    </i>
    <i r="3">
      <x v="201"/>
    </i>
    <i r="3">
      <x v="202"/>
    </i>
    <i r="3">
      <x v="203"/>
    </i>
    <i r="3">
      <x v="204"/>
    </i>
    <i r="3">
      <x v="205"/>
    </i>
    <i r="3">
      <x v="206"/>
    </i>
    <i r="3">
      <x v="207"/>
    </i>
    <i r="3">
      <x v="208"/>
    </i>
    <i r="3">
      <x v="209"/>
    </i>
    <i r="3">
      <x v="210"/>
    </i>
    <i r="3">
      <x v="211"/>
    </i>
    <i r="3">
      <x v="212"/>
    </i>
    <i r="3">
      <x v="213"/>
    </i>
    <i r="2">
      <x v="7"/>
    </i>
    <i r="3">
      <x v="214"/>
    </i>
    <i r="3">
      <x v="215"/>
    </i>
    <i r="3">
      <x v="216"/>
    </i>
    <i r="3">
      <x v="217"/>
    </i>
    <i r="3">
      <x v="218"/>
    </i>
    <i r="3">
      <x v="219"/>
    </i>
    <i r="3">
      <x v="220"/>
    </i>
    <i r="3">
      <x v="221"/>
    </i>
    <i r="3">
      <x v="222"/>
    </i>
    <i r="3">
      <x v="223"/>
    </i>
    <i r="3">
      <x v="224"/>
    </i>
    <i r="3">
      <x v="225"/>
    </i>
    <i r="3">
      <x v="226"/>
    </i>
    <i r="3">
      <x v="227"/>
    </i>
    <i r="3">
      <x v="228"/>
    </i>
    <i r="3">
      <x v="229"/>
    </i>
    <i r="3">
      <x v="230"/>
    </i>
    <i r="3">
      <x v="231"/>
    </i>
    <i r="3">
      <x v="232"/>
    </i>
    <i r="3">
      <x v="233"/>
    </i>
    <i r="3">
      <x v="234"/>
    </i>
    <i r="3">
      <x v="235"/>
    </i>
    <i r="3">
      <x v="236"/>
    </i>
    <i r="3">
      <x v="237"/>
    </i>
    <i r="3">
      <x v="238"/>
    </i>
    <i r="3">
      <x v="239"/>
    </i>
    <i r="3">
      <x v="240"/>
    </i>
    <i r="3">
      <x v="241"/>
    </i>
    <i r="3">
      <x v="242"/>
    </i>
    <i r="3">
      <x v="243"/>
    </i>
    <i r="2">
      <x v="8"/>
    </i>
    <i r="3">
      <x v="244"/>
    </i>
    <i r="3">
      <x v="245"/>
    </i>
    <i r="3">
      <x v="246"/>
    </i>
    <i r="3">
      <x v="247"/>
    </i>
    <i r="3">
      <x v="248"/>
    </i>
    <i r="3">
      <x v="249"/>
    </i>
    <i r="3">
      <x v="250"/>
    </i>
    <i r="3">
      <x v="251"/>
    </i>
    <i r="3">
      <x v="252"/>
    </i>
    <i r="3">
      <x v="253"/>
    </i>
    <i r="3">
      <x v="254"/>
    </i>
    <i r="3">
      <x v="255"/>
    </i>
    <i r="3">
      <x v="256"/>
    </i>
    <i r="3">
      <x v="257"/>
    </i>
    <i r="3">
      <x v="258"/>
    </i>
    <i r="3">
      <x v="259"/>
    </i>
    <i r="3">
      <x v="260"/>
    </i>
    <i r="3">
      <x v="261"/>
    </i>
    <i r="3">
      <x v="262"/>
    </i>
    <i r="3">
      <x v="263"/>
    </i>
    <i r="3">
      <x v="264"/>
    </i>
    <i r="3">
      <x v="265"/>
    </i>
    <i r="3">
      <x v="266"/>
    </i>
    <i r="3">
      <x v="267"/>
    </i>
    <i r="3">
      <x v="268"/>
    </i>
    <i r="3">
      <x v="269"/>
    </i>
    <i r="3">
      <x v="270"/>
    </i>
    <i r="3">
      <x v="271"/>
    </i>
    <i r="3">
      <x v="272"/>
    </i>
    <i r="3">
      <x v="273"/>
    </i>
    <i r="3">
      <x v="274"/>
    </i>
    <i>
      <x v="1"/>
    </i>
    <i r="1">
      <x v="3"/>
    </i>
    <i r="2">
      <x v="9"/>
    </i>
    <i r="3">
      <x v="275"/>
    </i>
    <i r="3">
      <x v="276"/>
    </i>
    <i r="3">
      <x v="277"/>
    </i>
    <i r="3">
      <x v="278"/>
    </i>
    <i r="3">
      <x v="279"/>
    </i>
    <i r="3">
      <x v="280"/>
    </i>
    <i r="3">
      <x v="281"/>
    </i>
    <i r="3">
      <x v="282"/>
    </i>
    <i r="3">
      <x v="283"/>
    </i>
    <i r="3">
      <x v="284"/>
    </i>
    <i r="3">
      <x v="285"/>
    </i>
    <i r="3">
      <x v="286"/>
    </i>
    <i r="3">
      <x v="287"/>
    </i>
    <i r="3">
      <x v="288"/>
    </i>
    <i r="3">
      <x v="289"/>
    </i>
    <i r="3">
      <x v="290"/>
    </i>
    <i r="3">
      <x v="291"/>
    </i>
    <i r="3">
      <x v="292"/>
    </i>
    <i r="3">
      <x v="293"/>
    </i>
    <i r="3">
      <x v="294"/>
    </i>
    <i r="3">
      <x v="295"/>
    </i>
    <i r="3">
      <x v="296"/>
    </i>
    <i r="3">
      <x v="297"/>
    </i>
    <i r="3">
      <x v="298"/>
    </i>
    <i r="3">
      <x v="299"/>
    </i>
    <i r="3">
      <x v="300"/>
    </i>
    <i r="3">
      <x v="301"/>
    </i>
    <i r="3">
      <x v="302"/>
    </i>
    <i r="3">
      <x v="303"/>
    </i>
    <i r="3">
      <x v="304"/>
    </i>
    <i r="3">
      <x v="305"/>
    </i>
    <i r="2">
      <x v="10"/>
    </i>
    <i r="3">
      <x v="306"/>
    </i>
    <i r="3">
      <x v="307"/>
    </i>
    <i r="3">
      <x v="308"/>
    </i>
    <i r="3">
      <x v="309"/>
    </i>
    <i r="3">
      <x v="310"/>
    </i>
    <i r="3">
      <x v="311"/>
    </i>
    <i r="3">
      <x v="312"/>
    </i>
    <i r="3">
      <x v="313"/>
    </i>
    <i r="3">
      <x v="314"/>
    </i>
    <i r="3">
      <x v="315"/>
    </i>
    <i r="3">
      <x v="316"/>
    </i>
    <i r="3">
      <x v="317"/>
    </i>
    <i r="3">
      <x v="318"/>
    </i>
    <i r="3">
      <x v="319"/>
    </i>
    <i r="3">
      <x v="320"/>
    </i>
    <i r="3">
      <x v="321"/>
    </i>
    <i r="3">
      <x v="322"/>
    </i>
    <i r="3">
      <x v="323"/>
    </i>
    <i r="3">
      <x v="324"/>
    </i>
    <i r="3">
      <x v="325"/>
    </i>
    <i r="3">
      <x v="326"/>
    </i>
    <i r="3">
      <x v="327"/>
    </i>
    <i r="3">
      <x v="328"/>
    </i>
    <i r="3">
      <x v="329"/>
    </i>
    <i r="3">
      <x v="330"/>
    </i>
    <i r="3">
      <x v="331"/>
    </i>
    <i r="3">
      <x v="332"/>
    </i>
    <i r="3">
      <x v="333"/>
    </i>
    <i r="2">
      <x v="11"/>
    </i>
    <i r="3">
      <x v="334"/>
    </i>
    <i r="3">
      <x v="335"/>
    </i>
    <i r="3">
      <x v="336"/>
    </i>
    <i r="3">
      <x v="337"/>
    </i>
    <i r="3">
      <x v="338"/>
    </i>
    <i r="3">
      <x v="339"/>
    </i>
    <i r="3">
      <x v="340"/>
    </i>
    <i r="3">
      <x v="341"/>
    </i>
    <i r="3">
      <x v="342"/>
    </i>
    <i r="3">
      <x v="343"/>
    </i>
    <i r="3">
      <x v="344"/>
    </i>
    <i r="3">
      <x v="345"/>
    </i>
    <i r="3">
      <x v="346"/>
    </i>
    <i r="3">
      <x v="347"/>
    </i>
    <i r="3">
      <x v="348"/>
    </i>
    <i r="3">
      <x v="349"/>
    </i>
    <i r="3">
      <x v="350"/>
    </i>
    <i r="3">
      <x v="351"/>
    </i>
    <i r="3">
      <x v="352"/>
    </i>
    <i r="3">
      <x v="353"/>
    </i>
    <i r="3">
      <x v="354"/>
    </i>
    <i r="3">
      <x v="355"/>
    </i>
    <i r="3">
      <x v="356"/>
    </i>
    <i r="3">
      <x v="357"/>
    </i>
    <i r="3">
      <x v="358"/>
    </i>
    <i r="3">
      <x v="359"/>
    </i>
    <i r="3">
      <x v="360"/>
    </i>
    <i r="3">
      <x v="361"/>
    </i>
    <i r="3">
      <x v="362"/>
    </i>
    <i r="3">
      <x v="363"/>
    </i>
    <i r="3">
      <x v="364"/>
    </i>
    <i r="1">
      <x/>
    </i>
    <i r="2">
      <x/>
    </i>
    <i r="3">
      <x v="365"/>
    </i>
    <i r="3">
      <x v="366"/>
    </i>
    <i r="3">
      <x v="367"/>
    </i>
    <i r="3">
      <x v="368"/>
    </i>
    <i r="3">
      <x v="369"/>
    </i>
    <i r="3">
      <x v="370"/>
    </i>
    <i r="3">
      <x v="371"/>
    </i>
    <i r="3">
      <x v="372"/>
    </i>
    <i r="3">
      <x v="373"/>
    </i>
    <i r="3">
      <x v="374"/>
    </i>
    <i r="3">
      <x v="375"/>
    </i>
    <i r="3">
      <x v="376"/>
    </i>
    <i r="3">
      <x v="377"/>
    </i>
    <i r="3">
      <x v="378"/>
    </i>
    <i r="3">
      <x v="379"/>
    </i>
    <i r="3">
      <x v="380"/>
    </i>
    <i r="3">
      <x v="381"/>
    </i>
    <i r="3">
      <x v="382"/>
    </i>
    <i r="3">
      <x v="383"/>
    </i>
    <i r="3">
      <x v="384"/>
    </i>
    <i r="3">
      <x v="385"/>
    </i>
    <i r="3">
      <x v="386"/>
    </i>
    <i r="3">
      <x v="387"/>
    </i>
    <i r="3">
      <x v="388"/>
    </i>
    <i r="3">
      <x v="389"/>
    </i>
    <i r="3">
      <x v="390"/>
    </i>
    <i r="3">
      <x v="391"/>
    </i>
    <i r="3">
      <x v="392"/>
    </i>
    <i r="3">
      <x v="393"/>
    </i>
    <i r="3">
      <x v="394"/>
    </i>
    <i r="2">
      <x v="1"/>
    </i>
    <i r="3">
      <x v="395"/>
    </i>
    <i r="3">
      <x v="396"/>
    </i>
    <i r="3">
      <x v="397"/>
    </i>
    <i r="3">
      <x v="398"/>
    </i>
    <i r="3">
      <x v="399"/>
    </i>
    <i r="3">
      <x v="400"/>
    </i>
    <i r="3">
      <x v="401"/>
    </i>
    <i r="3">
      <x v="402"/>
    </i>
    <i r="3">
      <x v="403"/>
    </i>
    <i r="3">
      <x v="404"/>
    </i>
    <i r="3">
      <x v="405"/>
    </i>
    <i r="3">
      <x v="406"/>
    </i>
    <i r="3">
      <x v="407"/>
    </i>
    <i r="3">
      <x v="408"/>
    </i>
    <i r="3">
      <x v="409"/>
    </i>
    <i r="3">
      <x v="410"/>
    </i>
    <i r="3">
      <x v="411"/>
    </i>
    <i r="3">
      <x v="412"/>
    </i>
    <i r="3">
      <x v="413"/>
    </i>
    <i r="3">
      <x v="414"/>
    </i>
    <i r="3">
      <x v="415"/>
    </i>
    <i r="3">
      <x v="416"/>
    </i>
    <i r="3">
      <x v="417"/>
    </i>
    <i r="3">
      <x v="418"/>
    </i>
    <i r="3">
      <x v="419"/>
    </i>
    <i r="3">
      <x v="420"/>
    </i>
    <i r="3">
      <x v="421"/>
    </i>
    <i r="3">
      <x v="422"/>
    </i>
    <i r="3">
      <x v="423"/>
    </i>
    <i r="3">
      <x v="424"/>
    </i>
    <i r="3">
      <x v="425"/>
    </i>
    <i r="2">
      <x v="2"/>
    </i>
    <i r="3">
      <x v="426"/>
    </i>
    <i r="3">
      <x v="427"/>
    </i>
    <i r="3">
      <x v="428"/>
    </i>
    <i r="3">
      <x v="429"/>
    </i>
    <i r="3">
      <x v="430"/>
    </i>
    <i r="3">
      <x v="431"/>
    </i>
    <i r="3">
      <x v="432"/>
    </i>
    <i r="3">
      <x v="433"/>
    </i>
    <i r="3">
      <x v="434"/>
    </i>
    <i r="3">
      <x v="435"/>
    </i>
    <i r="3">
      <x v="436"/>
    </i>
    <i r="3">
      <x v="437"/>
    </i>
    <i r="3">
      <x v="438"/>
    </i>
    <i r="3">
      <x v="439"/>
    </i>
    <i r="3">
      <x v="440"/>
    </i>
    <i r="3">
      <x v="441"/>
    </i>
    <i r="3">
      <x v="442"/>
    </i>
    <i r="3">
      <x v="443"/>
    </i>
    <i r="3">
      <x v="444"/>
    </i>
    <i r="3">
      <x v="445"/>
    </i>
    <i r="3">
      <x v="446"/>
    </i>
    <i r="3">
      <x v="447"/>
    </i>
    <i r="3">
      <x v="448"/>
    </i>
    <i r="3">
      <x v="449"/>
    </i>
    <i r="3">
      <x v="450"/>
    </i>
    <i r="3">
      <x v="451"/>
    </i>
    <i r="3">
      <x v="452"/>
    </i>
    <i r="3">
      <x v="453"/>
    </i>
    <i r="3">
      <x v="454"/>
    </i>
    <i r="3">
      <x v="455"/>
    </i>
    <i r="1">
      <x v="1"/>
    </i>
    <i r="2">
      <x v="3"/>
    </i>
    <i r="3">
      <x v="456"/>
    </i>
    <i r="3">
      <x v="457"/>
    </i>
    <i r="3">
      <x v="458"/>
    </i>
    <i r="3">
      <x v="459"/>
    </i>
    <i r="3">
      <x v="460"/>
    </i>
    <i r="3">
      <x v="461"/>
    </i>
    <i r="3">
      <x v="462"/>
    </i>
    <i r="3">
      <x v="463"/>
    </i>
    <i r="3">
      <x v="464"/>
    </i>
    <i r="3">
      <x v="465"/>
    </i>
    <i r="3">
      <x v="466"/>
    </i>
    <i r="3">
      <x v="467"/>
    </i>
    <i r="3">
      <x v="468"/>
    </i>
    <i r="3">
      <x v="469"/>
    </i>
    <i r="3">
      <x v="470"/>
    </i>
    <i r="3">
      <x v="471"/>
    </i>
    <i r="3">
      <x v="472"/>
    </i>
    <i r="3">
      <x v="473"/>
    </i>
    <i r="3">
      <x v="474"/>
    </i>
    <i r="3">
      <x v="475"/>
    </i>
    <i r="3">
      <x v="476"/>
    </i>
    <i r="3">
      <x v="477"/>
    </i>
    <i r="3">
      <x v="478"/>
    </i>
    <i r="3">
      <x v="479"/>
    </i>
    <i r="3">
      <x v="480"/>
    </i>
    <i r="3">
      <x v="481"/>
    </i>
    <i r="3">
      <x v="482"/>
    </i>
    <i r="3">
      <x v="483"/>
    </i>
    <i r="3">
      <x v="484"/>
    </i>
    <i r="3">
      <x v="485"/>
    </i>
    <i r="3">
      <x v="486"/>
    </i>
    <i r="2">
      <x v="4"/>
    </i>
    <i r="3">
      <x v="487"/>
    </i>
    <i r="3">
      <x v="488"/>
    </i>
    <i r="3">
      <x v="489"/>
    </i>
    <i r="3">
      <x v="490"/>
    </i>
    <i r="3">
      <x v="491"/>
    </i>
    <i r="3">
      <x v="492"/>
    </i>
    <i r="3">
      <x v="493"/>
    </i>
    <i r="3">
      <x v="494"/>
    </i>
    <i r="3">
      <x v="495"/>
    </i>
    <i r="3">
      <x v="496"/>
    </i>
    <i r="3">
      <x v="497"/>
    </i>
    <i r="3">
      <x v="498"/>
    </i>
    <i r="3">
      <x v="499"/>
    </i>
    <i r="3">
      <x v="500"/>
    </i>
    <i r="3">
      <x v="501"/>
    </i>
    <i r="3">
      <x v="502"/>
    </i>
    <i r="3">
      <x v="503"/>
    </i>
    <i r="3">
      <x v="504"/>
    </i>
    <i r="3">
      <x v="505"/>
    </i>
    <i r="3">
      <x v="506"/>
    </i>
    <i r="3">
      <x v="507"/>
    </i>
    <i r="3">
      <x v="508"/>
    </i>
    <i r="3">
      <x v="509"/>
    </i>
    <i r="3">
      <x v="510"/>
    </i>
    <i r="3">
      <x v="511"/>
    </i>
    <i r="3">
      <x v="512"/>
    </i>
    <i r="3">
      <x v="513"/>
    </i>
    <i r="3">
      <x v="514"/>
    </i>
    <i r="3">
      <x v="515"/>
    </i>
    <i r="3">
      <x v="516"/>
    </i>
    <i r="3">
      <x v="517"/>
    </i>
    <i r="2">
      <x v="5"/>
    </i>
    <i r="3">
      <x v="518"/>
    </i>
    <i r="3">
      <x v="519"/>
    </i>
    <i r="3">
      <x v="520"/>
    </i>
    <i r="3">
      <x v="521"/>
    </i>
    <i r="3">
      <x v="522"/>
    </i>
    <i r="3">
      <x v="523"/>
    </i>
    <i r="3">
      <x v="524"/>
    </i>
    <i r="3">
      <x v="525"/>
    </i>
    <i r="3">
      <x v="526"/>
    </i>
    <i r="3">
      <x v="527"/>
    </i>
    <i r="3">
      <x v="528"/>
    </i>
    <i r="3">
      <x v="529"/>
    </i>
    <i r="3">
      <x v="530"/>
    </i>
    <i r="3">
      <x v="531"/>
    </i>
    <i r="3">
      <x v="532"/>
    </i>
    <i r="3">
      <x v="533"/>
    </i>
    <i r="3">
      <x v="534"/>
    </i>
    <i r="3">
      <x v="535"/>
    </i>
    <i r="3">
      <x v="536"/>
    </i>
    <i r="3">
      <x v="537"/>
    </i>
    <i r="3">
      <x v="538"/>
    </i>
    <i r="3">
      <x v="539"/>
    </i>
    <i r="3">
      <x v="540"/>
    </i>
    <i r="3">
      <x v="541"/>
    </i>
    <i r="3">
      <x v="542"/>
    </i>
    <i r="3">
      <x v="543"/>
    </i>
    <i r="3">
      <x v="544"/>
    </i>
    <i r="3">
      <x v="545"/>
    </i>
    <i r="3">
      <x v="546"/>
    </i>
    <i r="3">
      <x v="547"/>
    </i>
    <i r="1">
      <x v="2"/>
    </i>
    <i r="2">
      <x v="6"/>
    </i>
    <i r="3">
      <x v="548"/>
    </i>
    <i r="3">
      <x v="549"/>
    </i>
    <i r="3">
      <x v="550"/>
    </i>
    <i r="3">
      <x v="551"/>
    </i>
    <i r="3">
      <x v="552"/>
    </i>
    <i r="3">
      <x v="553"/>
    </i>
    <i r="3">
      <x v="554"/>
    </i>
    <i r="3">
      <x v="555"/>
    </i>
    <i r="3">
      <x v="556"/>
    </i>
    <i r="3">
      <x v="557"/>
    </i>
    <i r="3">
      <x v="558"/>
    </i>
    <i r="3">
      <x v="559"/>
    </i>
    <i r="3">
      <x v="560"/>
    </i>
    <i r="3">
      <x v="561"/>
    </i>
    <i r="3">
      <x v="562"/>
    </i>
    <i r="3">
      <x v="563"/>
    </i>
    <i r="3">
      <x v="564"/>
    </i>
    <i r="3">
      <x v="565"/>
    </i>
    <i r="3">
      <x v="566"/>
    </i>
    <i r="3">
      <x v="567"/>
    </i>
    <i r="3">
      <x v="568"/>
    </i>
    <i r="3">
      <x v="569"/>
    </i>
    <i r="3">
      <x v="570"/>
    </i>
    <i r="3">
      <x v="571"/>
    </i>
    <i r="3">
      <x v="572"/>
    </i>
    <i r="3">
      <x v="573"/>
    </i>
    <i r="3">
      <x v="574"/>
    </i>
    <i r="3">
      <x v="575"/>
    </i>
    <i r="3">
      <x v="576"/>
    </i>
    <i r="3">
      <x v="577"/>
    </i>
    <i r="3">
      <x v="578"/>
    </i>
    <i r="2">
      <x v="7"/>
    </i>
    <i r="3">
      <x v="579"/>
    </i>
    <i r="3">
      <x v="580"/>
    </i>
    <i r="3">
      <x v="581"/>
    </i>
    <i r="3">
      <x v="582"/>
    </i>
    <i r="3">
      <x v="583"/>
    </i>
    <i r="3">
      <x v="584"/>
    </i>
    <i r="3">
      <x v="585"/>
    </i>
    <i r="3">
      <x v="586"/>
    </i>
    <i r="3">
      <x v="587"/>
    </i>
    <i r="3">
      <x v="588"/>
    </i>
    <i r="3">
      <x v="589"/>
    </i>
    <i r="3">
      <x v="590"/>
    </i>
    <i r="3">
      <x v="591"/>
    </i>
    <i r="3">
      <x v="592"/>
    </i>
    <i r="3">
      <x v="593"/>
    </i>
    <i r="3">
      <x v="594"/>
    </i>
    <i r="3">
      <x v="595"/>
    </i>
    <i r="3">
      <x v="596"/>
    </i>
    <i r="3">
      <x v="597"/>
    </i>
    <i r="3">
      <x v="598"/>
    </i>
    <i r="3">
      <x v="599"/>
    </i>
    <i r="3">
      <x v="600"/>
    </i>
    <i r="3">
      <x v="601"/>
    </i>
    <i r="3">
      <x v="602"/>
    </i>
    <i r="3">
      <x v="603"/>
    </i>
    <i r="3">
      <x v="604"/>
    </i>
    <i r="3">
      <x v="605"/>
    </i>
    <i r="3">
      <x v="606"/>
    </i>
    <i r="3">
      <x v="607"/>
    </i>
    <i r="3">
      <x v="608"/>
    </i>
    <i r="2">
      <x v="8"/>
    </i>
    <i r="3">
      <x v="609"/>
    </i>
    <i r="3">
      <x v="610"/>
    </i>
    <i r="3">
      <x v="611"/>
    </i>
    <i r="3">
      <x v="612"/>
    </i>
    <i r="3">
      <x v="613"/>
    </i>
    <i r="3">
      <x v="614"/>
    </i>
    <i r="3">
      <x v="615"/>
    </i>
    <i r="3">
      <x v="616"/>
    </i>
    <i r="3">
      <x v="617"/>
    </i>
    <i r="3">
      <x v="618"/>
    </i>
    <i r="3">
      <x v="619"/>
    </i>
    <i r="3">
      <x v="620"/>
    </i>
    <i r="3">
      <x v="621"/>
    </i>
    <i r="3">
      <x v="622"/>
    </i>
    <i r="3">
      <x v="623"/>
    </i>
    <i r="3">
      <x v="624"/>
    </i>
    <i r="3">
      <x v="625"/>
    </i>
    <i r="3">
      <x v="626"/>
    </i>
    <i r="3">
      <x v="627"/>
    </i>
    <i r="3">
      <x v="628"/>
    </i>
    <i r="3">
      <x v="629"/>
    </i>
    <i r="3">
      <x v="630"/>
    </i>
    <i r="3">
      <x v="631"/>
    </i>
    <i r="3">
      <x v="632"/>
    </i>
    <i r="3">
      <x v="633"/>
    </i>
    <i r="3">
      <x v="634"/>
    </i>
    <i r="3">
      <x v="635"/>
    </i>
    <i r="3">
      <x v="636"/>
    </i>
    <i r="3">
      <x v="637"/>
    </i>
    <i r="3">
      <x v="638"/>
    </i>
    <i r="3">
      <x v="639"/>
    </i>
    <i>
      <x v="2"/>
    </i>
    <i r="1">
      <x v="3"/>
    </i>
    <i r="2">
      <x v="9"/>
    </i>
    <i r="3">
      <x v="640"/>
    </i>
    <i r="3">
      <x v="641"/>
    </i>
    <i r="3">
      <x v="642"/>
    </i>
    <i r="3">
      <x v="643"/>
    </i>
    <i r="3">
      <x v="644"/>
    </i>
    <i r="3">
      <x v="645"/>
    </i>
    <i r="3">
      <x v="646"/>
    </i>
    <i r="3">
      <x v="647"/>
    </i>
    <i r="3">
      <x v="648"/>
    </i>
    <i r="3">
      <x v="649"/>
    </i>
    <i r="3">
      <x v="650"/>
    </i>
    <i r="3">
      <x v="651"/>
    </i>
    <i r="3">
      <x v="652"/>
    </i>
    <i r="3">
      <x v="653"/>
    </i>
    <i r="3">
      <x v="654"/>
    </i>
    <i r="3">
      <x v="655"/>
    </i>
    <i r="3">
      <x v="656"/>
    </i>
    <i r="3">
      <x v="657"/>
    </i>
    <i r="3">
      <x v="658"/>
    </i>
    <i r="3">
      <x v="659"/>
    </i>
    <i r="3">
      <x v="660"/>
    </i>
    <i r="3">
      <x v="661"/>
    </i>
    <i r="3">
      <x v="662"/>
    </i>
    <i r="3">
      <x v="663"/>
    </i>
    <i r="3">
      <x v="664"/>
    </i>
    <i r="3">
      <x v="665"/>
    </i>
    <i r="3">
      <x v="666"/>
    </i>
    <i r="3">
      <x v="667"/>
    </i>
    <i r="3">
      <x v="668"/>
    </i>
    <i r="3">
      <x v="669"/>
    </i>
    <i r="3">
      <x v="670"/>
    </i>
    <i r="2">
      <x v="10"/>
    </i>
    <i r="3">
      <x v="671"/>
    </i>
    <i r="3">
      <x v="672"/>
    </i>
    <i r="3">
      <x v="673"/>
    </i>
    <i r="3">
      <x v="674"/>
    </i>
    <i r="3">
      <x v="675"/>
    </i>
    <i r="3">
      <x v="676"/>
    </i>
    <i r="3">
      <x v="677"/>
    </i>
    <i r="3">
      <x v="678"/>
    </i>
    <i r="3">
      <x v="679"/>
    </i>
    <i r="3">
      <x v="680"/>
    </i>
    <i r="3">
      <x v="681"/>
    </i>
    <i r="3">
      <x v="682"/>
    </i>
    <i r="3">
      <x v="683"/>
    </i>
    <i r="3">
      <x v="684"/>
    </i>
    <i r="3">
      <x v="685"/>
    </i>
    <i r="3">
      <x v="686"/>
    </i>
    <i r="3">
      <x v="687"/>
    </i>
    <i r="3">
      <x v="688"/>
    </i>
    <i r="3">
      <x v="689"/>
    </i>
    <i r="3">
      <x v="690"/>
    </i>
    <i r="3">
      <x v="691"/>
    </i>
    <i r="3">
      <x v="692"/>
    </i>
    <i r="3">
      <x v="693"/>
    </i>
    <i r="3">
      <x v="694"/>
    </i>
    <i r="3">
      <x v="695"/>
    </i>
    <i r="3">
      <x v="696"/>
    </i>
    <i r="3">
      <x v="697"/>
    </i>
    <i r="3">
      <x v="698"/>
    </i>
    <i r="2">
      <x v="11"/>
    </i>
    <i r="3">
      <x v="699"/>
    </i>
    <i r="3">
      <x v="700"/>
    </i>
    <i r="3">
      <x v="701"/>
    </i>
    <i r="3">
      <x v="702"/>
    </i>
    <i r="3">
      <x v="703"/>
    </i>
    <i r="3">
      <x v="704"/>
    </i>
    <i r="3">
      <x v="705"/>
    </i>
    <i r="3">
      <x v="706"/>
    </i>
    <i r="3">
      <x v="707"/>
    </i>
    <i r="3">
      <x v="708"/>
    </i>
    <i r="3">
      <x v="709"/>
    </i>
    <i r="3">
      <x v="710"/>
    </i>
    <i r="3">
      <x v="711"/>
    </i>
    <i r="3">
      <x v="712"/>
    </i>
    <i r="3">
      <x v="713"/>
    </i>
    <i r="3">
      <x v="714"/>
    </i>
    <i r="3">
      <x v="715"/>
    </i>
    <i r="3">
      <x v="716"/>
    </i>
    <i r="3">
      <x v="717"/>
    </i>
    <i r="3">
      <x v="718"/>
    </i>
    <i r="3">
      <x v="719"/>
    </i>
    <i r="3">
      <x v="720"/>
    </i>
    <i r="3">
      <x v="721"/>
    </i>
    <i r="3">
      <x v="722"/>
    </i>
    <i r="3">
      <x v="723"/>
    </i>
    <i r="3">
      <x v="724"/>
    </i>
    <i r="3">
      <x v="725"/>
    </i>
    <i r="3">
      <x v="726"/>
    </i>
    <i r="3">
      <x v="727"/>
    </i>
    <i r="3">
      <x v="728"/>
    </i>
    <i r="3">
      <x v="729"/>
    </i>
    <i r="1">
      <x/>
    </i>
    <i r="2">
      <x/>
    </i>
    <i r="3">
      <x v="730"/>
    </i>
    <i r="3">
      <x v="731"/>
    </i>
    <i r="3">
      <x v="732"/>
    </i>
    <i r="3">
      <x v="733"/>
    </i>
    <i r="3">
      <x v="734"/>
    </i>
    <i r="3">
      <x v="735"/>
    </i>
    <i r="3">
      <x v="736"/>
    </i>
    <i r="3">
      <x v="737"/>
    </i>
    <i r="3">
      <x v="738"/>
    </i>
    <i r="3">
      <x v="739"/>
    </i>
    <i r="3">
      <x v="740"/>
    </i>
    <i r="3">
      <x v="741"/>
    </i>
    <i r="3">
      <x v="742"/>
    </i>
    <i r="3">
      <x v="743"/>
    </i>
    <i r="3">
      <x v="744"/>
    </i>
    <i r="3">
      <x v="745"/>
    </i>
    <i r="3">
      <x v="746"/>
    </i>
    <i r="3">
      <x v="747"/>
    </i>
    <i r="3">
      <x v="748"/>
    </i>
    <i r="3">
      <x v="749"/>
    </i>
    <i r="3">
      <x v="750"/>
    </i>
    <i r="3">
      <x v="751"/>
    </i>
    <i r="3">
      <x v="752"/>
    </i>
    <i r="3">
      <x v="753"/>
    </i>
    <i r="3">
      <x v="754"/>
    </i>
    <i r="3">
      <x v="755"/>
    </i>
    <i r="3">
      <x v="756"/>
    </i>
    <i r="3">
      <x v="757"/>
    </i>
    <i r="3">
      <x v="758"/>
    </i>
    <i r="3">
      <x v="759"/>
    </i>
    <i r="2">
      <x v="1"/>
    </i>
    <i r="3">
      <x v="760"/>
    </i>
    <i r="3">
      <x v="761"/>
    </i>
    <i r="3">
      <x v="762"/>
    </i>
    <i r="3">
      <x v="763"/>
    </i>
    <i r="3">
      <x v="764"/>
    </i>
    <i r="3">
      <x v="765"/>
    </i>
    <i r="3">
      <x v="766"/>
    </i>
    <i r="3">
      <x v="767"/>
    </i>
    <i r="3">
      <x v="768"/>
    </i>
    <i r="3">
      <x v="769"/>
    </i>
    <i r="3">
      <x v="770"/>
    </i>
    <i r="3">
      <x v="771"/>
    </i>
    <i r="3">
      <x v="772"/>
    </i>
    <i r="3">
      <x v="773"/>
    </i>
    <i r="3">
      <x v="774"/>
    </i>
    <i r="3">
      <x v="775"/>
    </i>
    <i r="3">
      <x v="776"/>
    </i>
    <i r="3">
      <x v="777"/>
    </i>
    <i r="3">
      <x v="778"/>
    </i>
    <i r="3">
      <x v="779"/>
    </i>
    <i r="3">
      <x v="780"/>
    </i>
    <i r="3">
      <x v="781"/>
    </i>
    <i r="3">
      <x v="782"/>
    </i>
    <i r="3">
      <x v="783"/>
    </i>
    <i r="3">
      <x v="784"/>
    </i>
    <i r="3">
      <x v="785"/>
    </i>
    <i r="3">
      <x v="786"/>
    </i>
    <i r="3">
      <x v="787"/>
    </i>
    <i r="3">
      <x v="788"/>
    </i>
    <i r="3">
      <x v="789"/>
    </i>
    <i r="3">
      <x v="790"/>
    </i>
    <i r="2">
      <x v="2"/>
    </i>
    <i r="3">
      <x v="791"/>
    </i>
    <i r="3">
      <x v="792"/>
    </i>
    <i r="3">
      <x v="793"/>
    </i>
    <i r="3">
      <x v="794"/>
    </i>
    <i r="3">
      <x v="795"/>
    </i>
    <i r="3">
      <x v="796"/>
    </i>
    <i r="3">
      <x v="797"/>
    </i>
    <i r="3">
      <x v="798"/>
    </i>
    <i r="3">
      <x v="799"/>
    </i>
    <i r="3">
      <x v="800"/>
    </i>
    <i r="3">
      <x v="801"/>
    </i>
    <i r="3">
      <x v="802"/>
    </i>
    <i r="3">
      <x v="803"/>
    </i>
    <i r="3">
      <x v="804"/>
    </i>
    <i r="3">
      <x v="805"/>
    </i>
    <i r="3">
      <x v="806"/>
    </i>
    <i r="3">
      <x v="807"/>
    </i>
    <i r="3">
      <x v="808"/>
    </i>
    <i r="3">
      <x v="809"/>
    </i>
    <i r="3">
      <x v="810"/>
    </i>
    <i r="3">
      <x v="811"/>
    </i>
    <i r="3">
      <x v="812"/>
    </i>
    <i r="3">
      <x v="813"/>
    </i>
    <i r="3">
      <x v="814"/>
    </i>
    <i r="3">
      <x v="815"/>
    </i>
    <i r="3">
      <x v="816"/>
    </i>
    <i r="3">
      <x v="817"/>
    </i>
    <i r="3">
      <x v="818"/>
    </i>
    <i r="3">
      <x v="819"/>
    </i>
    <i r="3">
      <x v="820"/>
    </i>
    <i r="1">
      <x v="1"/>
    </i>
    <i r="2">
      <x v="3"/>
    </i>
    <i r="3">
      <x v="821"/>
    </i>
    <i r="3">
      <x v="822"/>
    </i>
    <i r="3">
      <x v="823"/>
    </i>
    <i r="3">
      <x v="824"/>
    </i>
    <i r="3">
      <x v="825"/>
    </i>
    <i r="3">
      <x v="826"/>
    </i>
    <i r="3">
      <x v="827"/>
    </i>
    <i r="3">
      <x v="828"/>
    </i>
    <i r="3">
      <x v="829"/>
    </i>
    <i r="3">
      <x v="830"/>
    </i>
    <i r="3">
      <x v="831"/>
    </i>
    <i r="3">
      <x v="832"/>
    </i>
    <i r="3">
      <x v="833"/>
    </i>
    <i r="3">
      <x v="834"/>
    </i>
    <i r="3">
      <x v="835"/>
    </i>
    <i r="3">
      <x v="836"/>
    </i>
    <i r="3">
      <x v="837"/>
    </i>
    <i r="3">
      <x v="838"/>
    </i>
    <i r="3">
      <x v="839"/>
    </i>
    <i r="3">
      <x v="840"/>
    </i>
    <i r="3">
      <x v="841"/>
    </i>
    <i r="3">
      <x v="842"/>
    </i>
    <i r="3">
      <x v="843"/>
    </i>
    <i r="3">
      <x v="844"/>
    </i>
    <i r="3">
      <x v="845"/>
    </i>
    <i r="3">
      <x v="846"/>
    </i>
    <i r="3">
      <x v="847"/>
    </i>
    <i r="3">
      <x v="848"/>
    </i>
    <i r="3">
      <x v="849"/>
    </i>
    <i r="3">
      <x v="850"/>
    </i>
    <i r="3">
      <x v="851"/>
    </i>
    <i r="2">
      <x v="4"/>
    </i>
    <i r="3">
      <x v="852"/>
    </i>
    <i r="3">
      <x v="853"/>
    </i>
    <i r="3">
      <x v="854"/>
    </i>
    <i r="3">
      <x v="855"/>
    </i>
    <i r="3">
      <x v="856"/>
    </i>
    <i r="3">
      <x v="857"/>
    </i>
    <i r="3">
      <x v="858"/>
    </i>
    <i r="3">
      <x v="859"/>
    </i>
    <i r="3">
      <x v="860"/>
    </i>
    <i r="3">
      <x v="861"/>
    </i>
    <i r="3">
      <x v="862"/>
    </i>
    <i r="3">
      <x v="863"/>
    </i>
    <i r="3">
      <x v="864"/>
    </i>
    <i r="3">
      <x v="865"/>
    </i>
    <i r="3">
      <x v="866"/>
    </i>
    <i r="3">
      <x v="867"/>
    </i>
    <i r="3">
      <x v="868"/>
    </i>
    <i r="3">
      <x v="869"/>
    </i>
    <i r="3">
      <x v="870"/>
    </i>
    <i r="3">
      <x v="871"/>
    </i>
    <i r="3">
      <x v="872"/>
    </i>
    <i r="3">
      <x v="873"/>
    </i>
    <i r="3">
      <x v="874"/>
    </i>
    <i r="3">
      <x v="875"/>
    </i>
    <i r="3">
      <x v="876"/>
    </i>
    <i r="3">
      <x v="877"/>
    </i>
    <i r="3">
      <x v="878"/>
    </i>
    <i r="3">
      <x v="879"/>
    </i>
    <i r="3">
      <x v="880"/>
    </i>
    <i r="3">
      <x v="881"/>
    </i>
    <i r="3">
      <x v="882"/>
    </i>
    <i r="2">
      <x v="5"/>
    </i>
    <i r="3">
      <x v="883"/>
    </i>
    <i r="3">
      <x v="884"/>
    </i>
    <i r="3">
      <x v="885"/>
    </i>
    <i r="3">
      <x v="886"/>
    </i>
    <i r="3">
      <x v="887"/>
    </i>
    <i r="3">
      <x v="888"/>
    </i>
    <i r="3">
      <x v="889"/>
    </i>
    <i r="3">
      <x v="890"/>
    </i>
    <i r="3">
      <x v="891"/>
    </i>
    <i r="3">
      <x v="892"/>
    </i>
    <i r="3">
      <x v="893"/>
    </i>
    <i r="3">
      <x v="894"/>
    </i>
    <i r="3">
      <x v="895"/>
    </i>
    <i r="3">
      <x v="896"/>
    </i>
    <i r="3">
      <x v="897"/>
    </i>
    <i r="3">
      <x v="898"/>
    </i>
    <i r="3">
      <x v="899"/>
    </i>
    <i r="3">
      <x v="900"/>
    </i>
    <i r="3">
      <x v="901"/>
    </i>
    <i r="3">
      <x v="902"/>
    </i>
    <i r="3">
      <x v="903"/>
    </i>
    <i r="3">
      <x v="904"/>
    </i>
    <i r="3">
      <x v="905"/>
    </i>
    <i r="3">
      <x v="906"/>
    </i>
    <i r="3">
      <x v="907"/>
    </i>
    <i r="3">
      <x v="908"/>
    </i>
    <i r="3">
      <x v="909"/>
    </i>
    <i r="3">
      <x v="910"/>
    </i>
    <i r="3">
      <x v="911"/>
    </i>
    <i r="3">
      <x v="912"/>
    </i>
    <i r="1">
      <x v="2"/>
    </i>
    <i r="2">
      <x v="6"/>
    </i>
    <i r="3">
      <x v="913"/>
    </i>
    <i r="3">
      <x v="914"/>
    </i>
    <i r="3">
      <x v="915"/>
    </i>
    <i r="3">
      <x v="916"/>
    </i>
    <i r="3">
      <x v="917"/>
    </i>
    <i r="3">
      <x v="918"/>
    </i>
    <i r="3">
      <x v="919"/>
    </i>
    <i r="3">
      <x v="920"/>
    </i>
    <i r="3">
      <x v="921"/>
    </i>
    <i r="3">
      <x v="922"/>
    </i>
    <i r="3">
      <x v="923"/>
    </i>
    <i r="3">
      <x v="924"/>
    </i>
    <i r="3">
      <x v="925"/>
    </i>
    <i r="3">
      <x v="926"/>
    </i>
    <i r="3">
      <x v="927"/>
    </i>
    <i r="3">
      <x v="928"/>
    </i>
    <i r="3">
      <x v="929"/>
    </i>
    <i r="3">
      <x v="930"/>
    </i>
    <i r="3">
      <x v="931"/>
    </i>
    <i r="3">
      <x v="932"/>
    </i>
    <i r="3">
      <x v="933"/>
    </i>
    <i r="3">
      <x v="934"/>
    </i>
    <i r="3">
      <x v="935"/>
    </i>
    <i r="3">
      <x v="936"/>
    </i>
    <i r="3">
      <x v="937"/>
    </i>
    <i r="3">
      <x v="938"/>
    </i>
    <i r="3">
      <x v="939"/>
    </i>
    <i r="3">
      <x v="940"/>
    </i>
    <i r="3">
      <x v="941"/>
    </i>
    <i r="3">
      <x v="942"/>
    </i>
    <i r="3">
      <x v="943"/>
    </i>
    <i r="2">
      <x v="7"/>
    </i>
    <i r="3">
      <x v="944"/>
    </i>
    <i r="3">
      <x v="945"/>
    </i>
    <i r="3">
      <x v="946"/>
    </i>
    <i r="3">
      <x v="947"/>
    </i>
    <i r="3">
      <x v="948"/>
    </i>
    <i r="3">
      <x v="949"/>
    </i>
    <i r="3">
      <x v="950"/>
    </i>
    <i r="3">
      <x v="951"/>
    </i>
    <i r="3">
      <x v="952"/>
    </i>
    <i r="3">
      <x v="953"/>
    </i>
    <i r="3">
      <x v="954"/>
    </i>
    <i r="3">
      <x v="955"/>
    </i>
    <i r="3">
      <x v="956"/>
    </i>
    <i r="3">
      <x v="957"/>
    </i>
    <i r="3">
      <x v="958"/>
    </i>
    <i r="3">
      <x v="959"/>
    </i>
    <i r="3">
      <x v="960"/>
    </i>
    <i r="3">
      <x v="961"/>
    </i>
    <i r="3">
      <x v="962"/>
    </i>
    <i r="3">
      <x v="963"/>
    </i>
    <i r="3">
      <x v="964"/>
    </i>
    <i r="3">
      <x v="965"/>
    </i>
    <i r="3">
      <x v="966"/>
    </i>
    <i r="3">
      <x v="967"/>
    </i>
    <i r="3">
      <x v="968"/>
    </i>
    <i r="3">
      <x v="969"/>
    </i>
    <i r="3">
      <x v="970"/>
    </i>
    <i r="3">
      <x v="971"/>
    </i>
    <i r="3">
      <x v="972"/>
    </i>
    <i r="3">
      <x v="973"/>
    </i>
    <i r="2">
      <x v="8"/>
    </i>
    <i r="3">
      <x v="974"/>
    </i>
    <i r="3">
      <x v="975"/>
    </i>
    <i r="3">
      <x v="976"/>
    </i>
    <i r="3">
      <x v="977"/>
    </i>
    <i r="3">
      <x v="978"/>
    </i>
    <i r="3">
      <x v="979"/>
    </i>
    <i r="3">
      <x v="980"/>
    </i>
    <i r="3">
      <x v="981"/>
    </i>
    <i r="3">
      <x v="982"/>
    </i>
    <i r="3">
      <x v="983"/>
    </i>
    <i r="3">
      <x v="984"/>
    </i>
    <i r="3">
      <x v="985"/>
    </i>
    <i r="3">
      <x v="986"/>
    </i>
    <i r="3">
      <x v="987"/>
    </i>
    <i r="3">
      <x v="988"/>
    </i>
    <i r="3">
      <x v="989"/>
    </i>
    <i r="3">
      <x v="990"/>
    </i>
    <i r="3">
      <x v="991"/>
    </i>
    <i r="3">
      <x v="992"/>
    </i>
    <i r="3">
      <x v="993"/>
    </i>
    <i r="3">
      <x v="994"/>
    </i>
    <i r="3">
      <x v="995"/>
    </i>
    <i r="3">
      <x v="996"/>
    </i>
    <i r="3">
      <x v="997"/>
    </i>
    <i r="3">
      <x v="998"/>
    </i>
    <i r="3">
      <x v="999"/>
    </i>
    <i r="3">
      <x v="1000"/>
    </i>
    <i r="3">
      <x v="1001"/>
    </i>
    <i r="3">
      <x v="1002"/>
    </i>
    <i r="3">
      <x v="1003"/>
    </i>
    <i r="3">
      <x v="1004"/>
    </i>
    <i>
      <x v="3"/>
    </i>
    <i r="1">
      <x v="3"/>
    </i>
    <i r="2">
      <x v="9"/>
    </i>
    <i r="3">
      <x v="1005"/>
    </i>
    <i r="3">
      <x v="1006"/>
    </i>
    <i r="3">
      <x v="1007"/>
    </i>
    <i r="3">
      <x v="1008"/>
    </i>
    <i r="3">
      <x v="1009"/>
    </i>
    <i r="3">
      <x v="1010"/>
    </i>
    <i r="3">
      <x v="1011"/>
    </i>
    <i r="3">
      <x v="1012"/>
    </i>
    <i r="3">
      <x v="1013"/>
    </i>
    <i r="3">
      <x v="1014"/>
    </i>
    <i r="3">
      <x v="1015"/>
    </i>
    <i r="3">
      <x v="1016"/>
    </i>
    <i r="3">
      <x v="1017"/>
    </i>
    <i r="3">
      <x v="1018"/>
    </i>
    <i r="3">
      <x v="1019"/>
    </i>
    <i r="3">
      <x v="1020"/>
    </i>
    <i r="3">
      <x v="1021"/>
    </i>
    <i r="3">
      <x v="1022"/>
    </i>
    <i r="3">
      <x v="1023"/>
    </i>
    <i r="3">
      <x v="1024"/>
    </i>
    <i r="3">
      <x v="1025"/>
    </i>
    <i r="3">
      <x v="1026"/>
    </i>
    <i r="3">
      <x v="1027"/>
    </i>
    <i r="3">
      <x v="1028"/>
    </i>
    <i r="3">
      <x v="1029"/>
    </i>
    <i r="3">
      <x v="1030"/>
    </i>
    <i r="3">
      <x v="1031"/>
    </i>
    <i r="3">
      <x v="1032"/>
    </i>
    <i r="3">
      <x v="1033"/>
    </i>
    <i r="3">
      <x v="1034"/>
    </i>
    <i r="3">
      <x v="1035"/>
    </i>
    <i r="2">
      <x v="10"/>
    </i>
    <i r="3">
      <x v="1036"/>
    </i>
    <i r="3">
      <x v="1037"/>
    </i>
    <i r="3">
      <x v="1038"/>
    </i>
    <i r="3">
      <x v="1039"/>
    </i>
    <i r="3">
      <x v="1040"/>
    </i>
    <i r="3">
      <x v="1041"/>
    </i>
    <i r="3">
      <x v="1042"/>
    </i>
    <i r="3">
      <x v="1043"/>
    </i>
    <i r="3">
      <x v="1044"/>
    </i>
    <i r="3">
      <x v="1045"/>
    </i>
    <i r="3">
      <x v="1046"/>
    </i>
    <i r="3">
      <x v="1047"/>
    </i>
    <i r="3">
      <x v="1048"/>
    </i>
    <i r="3">
      <x v="1049"/>
    </i>
    <i r="3">
      <x v="1050"/>
    </i>
    <i r="3">
      <x v="1051"/>
    </i>
    <i r="3">
      <x v="1052"/>
    </i>
    <i r="3">
      <x v="1053"/>
    </i>
    <i r="3">
      <x v="1054"/>
    </i>
    <i r="3">
      <x v="1055"/>
    </i>
    <i r="3">
      <x v="1056"/>
    </i>
    <i r="3">
      <x v="1057"/>
    </i>
    <i r="3">
      <x v="1058"/>
    </i>
    <i r="3">
      <x v="1059"/>
    </i>
    <i r="3">
      <x v="1060"/>
    </i>
    <i r="3">
      <x v="1061"/>
    </i>
    <i r="3">
      <x v="1062"/>
    </i>
    <i r="3">
      <x v="1063"/>
    </i>
    <i r="2">
      <x v="11"/>
    </i>
    <i r="3">
      <x v="1064"/>
    </i>
    <i r="3">
      <x v="1065"/>
    </i>
    <i r="3">
      <x v="1066"/>
    </i>
    <i r="3">
      <x v="1067"/>
    </i>
    <i r="3">
      <x v="1068"/>
    </i>
    <i r="3">
      <x v="1069"/>
    </i>
    <i r="3">
      <x v="1070"/>
    </i>
    <i r="3">
      <x v="1071"/>
    </i>
    <i r="3">
      <x v="1072"/>
    </i>
    <i r="3">
      <x v="1073"/>
    </i>
    <i r="3">
      <x v="1074"/>
    </i>
    <i r="3">
      <x v="1075"/>
    </i>
    <i r="3">
      <x v="1076"/>
    </i>
    <i r="3">
      <x v="1077"/>
    </i>
    <i r="3">
      <x v="1078"/>
    </i>
    <i r="3">
      <x v="1079"/>
    </i>
    <i r="3">
      <x v="1080"/>
    </i>
    <i r="3">
      <x v="1081"/>
    </i>
    <i r="3">
      <x v="1082"/>
    </i>
    <i r="3">
      <x v="1083"/>
    </i>
    <i r="3">
      <x v="1084"/>
    </i>
    <i r="3">
      <x v="1085"/>
    </i>
    <i r="3">
      <x v="1086"/>
    </i>
    <i r="3">
      <x v="1087"/>
    </i>
    <i r="3">
      <x v="1088"/>
    </i>
    <i r="3">
      <x v="1089"/>
    </i>
    <i r="3">
      <x v="1090"/>
    </i>
    <i r="3">
      <x v="1091"/>
    </i>
    <i r="3">
      <x v="1092"/>
    </i>
    <i r="3">
      <x v="1093"/>
    </i>
    <i r="3">
      <x v="1094"/>
    </i>
    <i r="1">
      <x/>
    </i>
    <i r="2">
      <x/>
    </i>
    <i r="3">
      <x v="1095"/>
    </i>
    <i r="3">
      <x v="1096"/>
    </i>
    <i r="3">
      <x v="1097"/>
    </i>
    <i r="3">
      <x v="1098"/>
    </i>
    <i r="3">
      <x v="1099"/>
    </i>
    <i r="3">
      <x v="1100"/>
    </i>
    <i r="3">
      <x v="1101"/>
    </i>
    <i r="3">
      <x v="1102"/>
    </i>
    <i r="3">
      <x v="1103"/>
    </i>
    <i r="3">
      <x v="1104"/>
    </i>
    <i r="3">
      <x v="1105"/>
    </i>
    <i r="3">
      <x v="1106"/>
    </i>
    <i r="3">
      <x v="1107"/>
    </i>
    <i r="3">
      <x v="1108"/>
    </i>
    <i r="3">
      <x v="1109"/>
    </i>
    <i r="3">
      <x v="1110"/>
    </i>
    <i r="3">
      <x v="1111"/>
    </i>
    <i r="3">
      <x v="1112"/>
    </i>
    <i r="3">
      <x v="1113"/>
    </i>
    <i r="3">
      <x v="1114"/>
    </i>
    <i r="3">
      <x v="1115"/>
    </i>
    <i r="3">
      <x v="1116"/>
    </i>
    <i r="3">
      <x v="1117"/>
    </i>
    <i r="3">
      <x v="1118"/>
    </i>
    <i r="3">
      <x v="1119"/>
    </i>
    <i r="3">
      <x v="1120"/>
    </i>
    <i r="3">
      <x v="1121"/>
    </i>
    <i r="3">
      <x v="1122"/>
    </i>
    <i r="3">
      <x v="1123"/>
    </i>
    <i r="3">
      <x v="1124"/>
    </i>
    <i r="2">
      <x v="1"/>
    </i>
    <i r="3">
      <x v="1125"/>
    </i>
    <i r="3">
      <x v="1126"/>
    </i>
    <i r="3">
      <x v="1127"/>
    </i>
    <i r="3">
      <x v="1128"/>
    </i>
    <i r="3">
      <x v="1129"/>
    </i>
    <i r="3">
      <x v="1130"/>
    </i>
    <i r="3">
      <x v="1131"/>
    </i>
    <i r="3">
      <x v="1132"/>
    </i>
    <i r="3">
      <x v="1133"/>
    </i>
    <i r="3">
      <x v="1134"/>
    </i>
    <i r="3">
      <x v="1135"/>
    </i>
    <i r="3">
      <x v="1136"/>
    </i>
    <i r="3">
      <x v="1137"/>
    </i>
    <i r="3">
      <x v="1138"/>
    </i>
    <i r="3">
      <x v="1139"/>
    </i>
    <i r="3">
      <x v="1140"/>
    </i>
    <i r="3">
      <x v="1141"/>
    </i>
    <i r="3">
      <x v="1142"/>
    </i>
    <i r="3">
      <x v="1143"/>
    </i>
    <i r="3">
      <x v="1144"/>
    </i>
    <i r="3">
      <x v="1145"/>
    </i>
    <i r="3">
      <x v="1146"/>
    </i>
    <i r="3">
      <x v="1147"/>
    </i>
    <i r="3">
      <x v="1148"/>
    </i>
    <i r="3">
      <x v="1149"/>
    </i>
    <i r="3">
      <x v="1150"/>
    </i>
    <i r="3">
      <x v="1151"/>
    </i>
    <i r="3">
      <x v="1152"/>
    </i>
    <i r="3">
      <x v="1153"/>
    </i>
    <i r="3">
      <x v="1154"/>
    </i>
    <i r="3">
      <x v="1155"/>
    </i>
    <i r="2">
      <x v="2"/>
    </i>
    <i r="3">
      <x v="1156"/>
    </i>
    <i r="3">
      <x v="1157"/>
    </i>
    <i r="3">
      <x v="1158"/>
    </i>
    <i r="3">
      <x v="1159"/>
    </i>
    <i r="3">
      <x v="1160"/>
    </i>
    <i r="3">
      <x v="1161"/>
    </i>
    <i r="3">
      <x v="1162"/>
    </i>
    <i r="3">
      <x v="1163"/>
    </i>
    <i r="3">
      <x v="1164"/>
    </i>
    <i r="3">
      <x v="1165"/>
    </i>
    <i r="3">
      <x v="1166"/>
    </i>
    <i r="3">
      <x v="1167"/>
    </i>
    <i r="3">
      <x v="1168"/>
    </i>
    <i r="3">
      <x v="1169"/>
    </i>
    <i r="3">
      <x v="1170"/>
    </i>
    <i r="3">
      <x v="1171"/>
    </i>
    <i r="3">
      <x v="1172"/>
    </i>
    <i r="3">
      <x v="1173"/>
    </i>
    <i r="3">
      <x v="1174"/>
    </i>
    <i r="3">
      <x v="1175"/>
    </i>
    <i r="3">
      <x v="1176"/>
    </i>
    <i r="3">
      <x v="1177"/>
    </i>
    <i r="3">
      <x v="1178"/>
    </i>
    <i r="3">
      <x v="1179"/>
    </i>
    <i r="3">
      <x v="1180"/>
    </i>
    <i r="3">
      <x v="1181"/>
    </i>
    <i r="3">
      <x v="1182"/>
    </i>
    <i r="3">
      <x v="1183"/>
    </i>
    <i r="3">
      <x v="1184"/>
    </i>
    <i r="3">
      <x v="1185"/>
    </i>
    <i r="1">
      <x v="1"/>
    </i>
    <i r="2">
      <x v="3"/>
    </i>
    <i r="3">
      <x v="1186"/>
    </i>
    <i r="3">
      <x v="1187"/>
    </i>
    <i r="3">
      <x v="1188"/>
    </i>
    <i r="3">
      <x v="1189"/>
    </i>
    <i r="3">
      <x v="1190"/>
    </i>
    <i r="3">
      <x v="1191"/>
    </i>
    <i r="3">
      <x v="1192"/>
    </i>
    <i r="3">
      <x v="1193"/>
    </i>
    <i r="3">
      <x v="1194"/>
    </i>
    <i r="3">
      <x v="1195"/>
    </i>
    <i r="3">
      <x v="1196"/>
    </i>
    <i r="3">
      <x v="1197"/>
    </i>
    <i r="3">
      <x v="1198"/>
    </i>
    <i r="3">
      <x v="1199"/>
    </i>
    <i r="3">
      <x v="1200"/>
    </i>
    <i r="3">
      <x v="1201"/>
    </i>
    <i r="3">
      <x v="1202"/>
    </i>
    <i r="3">
      <x v="1203"/>
    </i>
    <i r="3">
      <x v="1204"/>
    </i>
    <i r="3">
      <x v="1205"/>
    </i>
    <i r="3">
      <x v="1206"/>
    </i>
    <i r="3">
      <x v="1207"/>
    </i>
    <i r="3">
      <x v="1208"/>
    </i>
    <i r="3">
      <x v="1209"/>
    </i>
    <i r="3">
      <x v="1210"/>
    </i>
    <i r="3">
      <x v="1211"/>
    </i>
    <i r="3">
      <x v="1212"/>
    </i>
    <i r="3">
      <x v="1213"/>
    </i>
    <i r="3">
      <x v="1214"/>
    </i>
    <i r="3">
      <x v="1215"/>
    </i>
    <i r="3">
      <x v="1216"/>
    </i>
    <i r="2">
      <x v="4"/>
    </i>
    <i r="3">
      <x v="1217"/>
    </i>
    <i r="3">
      <x v="1218"/>
    </i>
    <i r="3">
      <x v="1219"/>
    </i>
    <i r="3">
      <x v="1220"/>
    </i>
    <i r="3">
      <x v="1221"/>
    </i>
    <i r="3">
      <x v="1222"/>
    </i>
    <i r="3">
      <x v="1223"/>
    </i>
    <i r="3">
      <x v="1224"/>
    </i>
    <i r="3">
      <x v="1225"/>
    </i>
    <i r="3">
      <x v="1226"/>
    </i>
    <i r="3">
      <x v="1227"/>
    </i>
    <i r="3">
      <x v="1228"/>
    </i>
    <i r="3">
      <x v="1229"/>
    </i>
    <i r="3">
      <x v="1230"/>
    </i>
    <i r="3">
      <x v="1231"/>
    </i>
    <i r="3">
      <x v="1232"/>
    </i>
    <i r="3">
      <x v="1233"/>
    </i>
    <i r="3">
      <x v="1234"/>
    </i>
    <i r="3">
      <x v="1235"/>
    </i>
    <i r="3">
      <x v="1236"/>
    </i>
    <i r="3">
      <x v="1237"/>
    </i>
    <i r="3">
      <x v="1238"/>
    </i>
    <i r="3">
      <x v="1239"/>
    </i>
    <i r="3">
      <x v="1240"/>
    </i>
    <i r="3">
      <x v="1241"/>
    </i>
    <i r="3">
      <x v="1242"/>
    </i>
    <i r="3">
      <x v="1243"/>
    </i>
    <i r="3">
      <x v="1244"/>
    </i>
    <i r="3">
      <x v="1245"/>
    </i>
    <i r="3">
      <x v="1246"/>
    </i>
    <i r="3">
      <x v="1247"/>
    </i>
    <i r="2">
      <x v="5"/>
    </i>
    <i r="3">
      <x v="1248"/>
    </i>
    <i r="3">
      <x v="1249"/>
    </i>
    <i r="3">
      <x v="1250"/>
    </i>
    <i r="3">
      <x v="1251"/>
    </i>
    <i r="3">
      <x v="1252"/>
    </i>
    <i r="3">
      <x v="1253"/>
    </i>
    <i r="3">
      <x v="1254"/>
    </i>
    <i r="3">
      <x v="1255"/>
    </i>
    <i r="3">
      <x v="1256"/>
    </i>
    <i r="3">
      <x v="1257"/>
    </i>
    <i r="3">
      <x v="1258"/>
    </i>
    <i r="3">
      <x v="1259"/>
    </i>
    <i r="3">
      <x v="1260"/>
    </i>
    <i r="3">
      <x v="1261"/>
    </i>
    <i r="3">
      <x v="1262"/>
    </i>
    <i r="3">
      <x v="1263"/>
    </i>
    <i r="3">
      <x v="1264"/>
    </i>
    <i r="3">
      <x v="1265"/>
    </i>
    <i r="3">
      <x v="1266"/>
    </i>
    <i r="3">
      <x v="1267"/>
    </i>
    <i r="3">
      <x v="1268"/>
    </i>
    <i r="3">
      <x v="1269"/>
    </i>
    <i r="3">
      <x v="1270"/>
    </i>
    <i r="3">
      <x v="1271"/>
    </i>
    <i r="3">
      <x v="1272"/>
    </i>
    <i r="3">
      <x v="1273"/>
    </i>
    <i r="3">
      <x v="1274"/>
    </i>
    <i r="3">
      <x v="1275"/>
    </i>
    <i r="3">
      <x v="1276"/>
    </i>
    <i r="3">
      <x v="1277"/>
    </i>
    <i r="1">
      <x v="2"/>
    </i>
    <i r="2">
      <x v="6"/>
    </i>
    <i r="3">
      <x v="1278"/>
    </i>
    <i r="3">
      <x v="1279"/>
    </i>
    <i r="3">
      <x v="1280"/>
    </i>
    <i r="3">
      <x v="1281"/>
    </i>
    <i r="3">
      <x v="1282"/>
    </i>
    <i r="3">
      <x v="1283"/>
    </i>
    <i r="3">
      <x v="1284"/>
    </i>
    <i r="3">
      <x v="1285"/>
    </i>
    <i r="3">
      <x v="1286"/>
    </i>
    <i r="3">
      <x v="1287"/>
    </i>
    <i r="3">
      <x v="1288"/>
    </i>
    <i r="3">
      <x v="1289"/>
    </i>
    <i r="3">
      <x v="1290"/>
    </i>
    <i r="3">
      <x v="1291"/>
    </i>
    <i r="3">
      <x v="1292"/>
    </i>
    <i r="3">
      <x v="1293"/>
    </i>
    <i r="3">
      <x v="1294"/>
    </i>
    <i r="3">
      <x v="1295"/>
    </i>
    <i r="3">
      <x v="1296"/>
    </i>
    <i r="3">
      <x v="1297"/>
    </i>
    <i r="3">
      <x v="1298"/>
    </i>
    <i r="3">
      <x v="1299"/>
    </i>
    <i r="3">
      <x v="1300"/>
    </i>
    <i r="3">
      <x v="1301"/>
    </i>
    <i r="3">
      <x v="1302"/>
    </i>
    <i r="3">
      <x v="1303"/>
    </i>
    <i r="3">
      <x v="1304"/>
    </i>
    <i r="3">
      <x v="1305"/>
    </i>
    <i r="3">
      <x v="1306"/>
    </i>
    <i r="3">
      <x v="1307"/>
    </i>
    <i r="3">
      <x v="1308"/>
    </i>
    <i r="2">
      <x v="7"/>
    </i>
    <i r="3">
      <x v="1309"/>
    </i>
    <i r="3">
      <x v="1310"/>
    </i>
    <i r="3">
      <x v="1311"/>
    </i>
    <i r="3">
      <x v="1312"/>
    </i>
    <i r="3">
      <x v="1313"/>
    </i>
    <i r="3">
      <x v="1314"/>
    </i>
    <i r="3">
      <x v="1315"/>
    </i>
    <i r="3">
      <x v="1316"/>
    </i>
    <i r="3">
      <x v="1317"/>
    </i>
    <i r="3">
      <x v="1318"/>
    </i>
    <i r="3">
      <x v="1319"/>
    </i>
    <i r="3">
      <x v="1320"/>
    </i>
    <i r="3">
      <x v="1321"/>
    </i>
    <i r="3">
      <x v="1322"/>
    </i>
    <i r="3">
      <x v="1323"/>
    </i>
    <i r="3">
      <x v="1324"/>
    </i>
    <i r="3">
      <x v="1325"/>
    </i>
    <i r="3">
      <x v="1326"/>
    </i>
    <i r="3">
      <x v="1327"/>
    </i>
    <i r="3">
      <x v="1328"/>
    </i>
    <i r="3">
      <x v="1329"/>
    </i>
    <i r="3">
      <x v="1330"/>
    </i>
    <i r="3">
      <x v="1331"/>
    </i>
    <i r="3">
      <x v="1332"/>
    </i>
    <i r="3">
      <x v="1333"/>
    </i>
    <i r="3">
      <x v="1334"/>
    </i>
    <i r="3">
      <x v="1335"/>
    </i>
    <i r="3">
      <x v="1336"/>
    </i>
    <i r="3">
      <x v="1337"/>
    </i>
    <i r="3">
      <x v="1338"/>
    </i>
    <i r="2">
      <x v="8"/>
    </i>
    <i r="3">
      <x v="1339"/>
    </i>
    <i r="3">
      <x v="1340"/>
    </i>
    <i r="3">
      <x v="1341"/>
    </i>
    <i r="3">
      <x v="1342"/>
    </i>
    <i r="3">
      <x v="1343"/>
    </i>
    <i r="3">
      <x v="1344"/>
    </i>
    <i r="3">
      <x v="1345"/>
    </i>
    <i r="3">
      <x v="1346"/>
    </i>
    <i r="3">
      <x v="1347"/>
    </i>
    <i r="3">
      <x v="1348"/>
    </i>
    <i r="3">
      <x v="1349"/>
    </i>
    <i r="3">
      <x v="1350"/>
    </i>
    <i r="3">
      <x v="1351"/>
    </i>
    <i r="3">
      <x v="1352"/>
    </i>
    <i r="3">
      <x v="1353"/>
    </i>
    <i r="3">
      <x v="1354"/>
    </i>
    <i r="3">
      <x v="1355"/>
    </i>
    <i r="3">
      <x v="1356"/>
    </i>
    <i r="3">
      <x v="1357"/>
    </i>
    <i r="3">
      <x v="1358"/>
    </i>
    <i r="3">
      <x v="1359"/>
    </i>
    <i r="3">
      <x v="1360"/>
    </i>
    <i r="3">
      <x v="1361"/>
    </i>
    <i r="3">
      <x v="1362"/>
    </i>
    <i r="3">
      <x v="1363"/>
    </i>
    <i r="3">
      <x v="1364"/>
    </i>
    <i r="3">
      <x v="1365"/>
    </i>
    <i r="3">
      <x v="1366"/>
    </i>
    <i r="3">
      <x v="1367"/>
    </i>
    <i r="3">
      <x v="1368"/>
    </i>
    <i r="3">
      <x v="1369"/>
    </i>
    <i>
      <x v="4"/>
    </i>
    <i r="1">
      <x v="3"/>
    </i>
    <i r="2">
      <x v="9"/>
    </i>
    <i r="3">
      <x v="1370"/>
    </i>
    <i r="3">
      <x v="1371"/>
    </i>
    <i r="3">
      <x v="1372"/>
    </i>
    <i r="3">
      <x v="1373"/>
    </i>
    <i r="3">
      <x v="1374"/>
    </i>
    <i r="3">
      <x v="1375"/>
    </i>
    <i r="3">
      <x v="1376"/>
    </i>
    <i r="3">
      <x v="1377"/>
    </i>
    <i r="3">
      <x v="1378"/>
    </i>
    <i r="3">
      <x v="1379"/>
    </i>
    <i r="3">
      <x v="1380"/>
    </i>
    <i r="3">
      <x v="1381"/>
    </i>
    <i r="3">
      <x v="1382"/>
    </i>
    <i r="3">
      <x v="1383"/>
    </i>
    <i r="3">
      <x v="1384"/>
    </i>
    <i r="3">
      <x v="1385"/>
    </i>
    <i r="3">
      <x v="1386"/>
    </i>
    <i r="3">
      <x v="1387"/>
    </i>
    <i r="3">
      <x v="1388"/>
    </i>
    <i r="3">
      <x v="1389"/>
    </i>
    <i r="3">
      <x v="1390"/>
    </i>
    <i r="3">
      <x v="1391"/>
    </i>
    <i r="3">
      <x v="1392"/>
    </i>
    <i r="3">
      <x v="1393"/>
    </i>
    <i r="3">
      <x v="1394"/>
    </i>
    <i r="3">
      <x v="1395"/>
    </i>
    <i r="3">
      <x v="1396"/>
    </i>
    <i r="3">
      <x v="1397"/>
    </i>
    <i r="3">
      <x v="1398"/>
    </i>
    <i r="3">
      <x v="1399"/>
    </i>
    <i r="3">
      <x v="1400"/>
    </i>
    <i r="2">
      <x v="10"/>
    </i>
    <i r="3">
      <x v="1401"/>
    </i>
    <i r="3">
      <x v="1402"/>
    </i>
    <i r="3">
      <x v="1403"/>
    </i>
    <i r="3">
      <x v="1404"/>
    </i>
    <i r="3">
      <x v="1405"/>
    </i>
    <i r="3">
      <x v="1406"/>
    </i>
    <i r="3">
      <x v="1407"/>
    </i>
    <i r="3">
      <x v="1408"/>
    </i>
    <i r="3">
      <x v="1409"/>
    </i>
    <i r="3">
      <x v="1410"/>
    </i>
    <i r="3">
      <x v="1411"/>
    </i>
    <i r="3">
      <x v="1412"/>
    </i>
    <i r="3">
      <x v="1413"/>
    </i>
    <i r="3">
      <x v="1414"/>
    </i>
    <i r="3">
      <x v="1415"/>
    </i>
    <i r="3">
      <x v="1416"/>
    </i>
    <i r="3">
      <x v="1417"/>
    </i>
    <i r="3">
      <x v="1418"/>
    </i>
    <i r="3">
      <x v="1419"/>
    </i>
    <i r="3">
      <x v="1420"/>
    </i>
    <i r="3">
      <x v="1421"/>
    </i>
    <i r="3">
      <x v="1422"/>
    </i>
    <i r="3">
      <x v="1423"/>
    </i>
    <i r="3">
      <x v="1424"/>
    </i>
    <i r="3">
      <x v="1425"/>
    </i>
    <i r="3">
      <x v="1426"/>
    </i>
    <i r="3">
      <x v="1427"/>
    </i>
    <i r="3">
      <x v="1428"/>
    </i>
    <i r="3">
      <x v="1429"/>
    </i>
    <i r="2">
      <x v="11"/>
    </i>
    <i r="3">
      <x v="1430"/>
    </i>
    <i r="3">
      <x v="1431"/>
    </i>
    <i r="3">
      <x v="1432"/>
    </i>
    <i r="3">
      <x v="1433"/>
    </i>
    <i r="3">
      <x v="1434"/>
    </i>
    <i r="3">
      <x v="1435"/>
    </i>
    <i r="3">
      <x v="1436"/>
    </i>
    <i r="3">
      <x v="1437"/>
    </i>
    <i r="3">
      <x v="1438"/>
    </i>
    <i r="3">
      <x v="1439"/>
    </i>
    <i r="3">
      <x v="1440"/>
    </i>
    <i r="3">
      <x v="1441"/>
    </i>
    <i r="3">
      <x v="1442"/>
    </i>
    <i r="3">
      <x v="1443"/>
    </i>
    <i r="3">
      <x v="1444"/>
    </i>
    <i r="3">
      <x v="1445"/>
    </i>
    <i r="3">
      <x v="1446"/>
    </i>
    <i r="3">
      <x v="1447"/>
    </i>
    <i r="3">
      <x v="1448"/>
    </i>
    <i r="3">
      <x v="1449"/>
    </i>
    <i r="3">
      <x v="1450"/>
    </i>
    <i r="3">
      <x v="1451"/>
    </i>
    <i r="3">
      <x v="1452"/>
    </i>
    <i r="3">
      <x v="1453"/>
    </i>
    <i r="3">
      <x v="1454"/>
    </i>
    <i r="3">
      <x v="1455"/>
    </i>
    <i r="3">
      <x v="1456"/>
    </i>
    <i r="3">
      <x v="1457"/>
    </i>
    <i r="3">
      <x v="1458"/>
    </i>
    <i r="3">
      <x v="1459"/>
    </i>
    <i r="3">
      <x v="1460"/>
    </i>
    <i t="grand">
      <x/>
    </i>
  </rowItem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ewels]"/>
        <x15:activeTabTopLevelEntity name="[Custom_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334851-1E54-4205-B9CA-C8DC9C5C3844}"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13:B22" firstHeaderRow="1" firstDataRow="1" firstDataCol="1"/>
  <pivotFields count="21">
    <pivotField showAll="0"/>
    <pivotField numFmtId="14" showAll="0">
      <items count="404">
        <item x="98"/>
        <item x="298"/>
        <item x="2"/>
        <item x="29"/>
        <item x="14"/>
        <item x="208"/>
        <item x="364"/>
        <item x="335"/>
        <item x="175"/>
        <item x="121"/>
        <item x="173"/>
        <item x="63"/>
        <item x="134"/>
        <item x="145"/>
        <item x="232"/>
        <item x="3"/>
        <item x="135"/>
        <item x="82"/>
        <item x="139"/>
        <item x="399"/>
        <item x="193"/>
        <item x="27"/>
        <item x="197"/>
        <item x="219"/>
        <item x="16"/>
        <item x="36"/>
        <item x="224"/>
        <item x="400"/>
        <item x="110"/>
        <item x="238"/>
        <item x="72"/>
        <item x="317"/>
        <item x="360"/>
        <item x="337"/>
        <item x="191"/>
        <item x="211"/>
        <item x="6"/>
        <item x="292"/>
        <item x="178"/>
        <item x="241"/>
        <item x="151"/>
        <item x="166"/>
        <item x="392"/>
        <item x="273"/>
        <item x="57"/>
        <item x="233"/>
        <item x="230"/>
        <item x="216"/>
        <item x="103"/>
        <item x="291"/>
        <item x="250"/>
        <item x="116"/>
        <item x="107"/>
        <item x="201"/>
        <item x="385"/>
        <item x="192"/>
        <item x="357"/>
        <item x="256"/>
        <item x="332"/>
        <item x="102"/>
        <item x="79"/>
        <item x="328"/>
        <item x="376"/>
        <item x="295"/>
        <item x="43"/>
        <item x="83"/>
        <item x="125"/>
        <item x="334"/>
        <item x="198"/>
        <item x="138"/>
        <item x="53"/>
        <item x="59"/>
        <item x="394"/>
        <item x="7"/>
        <item x="169"/>
        <item x="363"/>
        <item x="123"/>
        <item x="35"/>
        <item x="152"/>
        <item x="167"/>
        <item x="87"/>
        <item x="259"/>
        <item x="275"/>
        <item x="170"/>
        <item x="361"/>
        <item x="303"/>
        <item x="108"/>
        <item x="300"/>
        <item x="358"/>
        <item x="217"/>
        <item x="15"/>
        <item x="78"/>
        <item x="237"/>
        <item x="210"/>
        <item x="316"/>
        <item x="242"/>
        <item x="375"/>
        <item x="10"/>
        <item x="61"/>
        <item x="234"/>
        <item x="150"/>
        <item x="381"/>
        <item x="293"/>
        <item x="126"/>
        <item x="309"/>
        <item x="269"/>
        <item x="196"/>
        <item x="248"/>
        <item x="160"/>
        <item x="97"/>
        <item x="120"/>
        <item x="342"/>
        <item x="65"/>
        <item x="401"/>
        <item x="336"/>
        <item x="252"/>
        <item x="88"/>
        <item x="101"/>
        <item x="284"/>
        <item x="176"/>
        <item x="204"/>
        <item x="389"/>
        <item x="240"/>
        <item x="68"/>
        <item x="100"/>
        <item x="25"/>
        <item x="341"/>
        <item x="47"/>
        <item x="124"/>
        <item x="306"/>
        <item x="85"/>
        <item x="380"/>
        <item x="379"/>
        <item x="338"/>
        <item x="283"/>
        <item x="18"/>
        <item x="249"/>
        <item x="91"/>
        <item x="254"/>
        <item x="168"/>
        <item x="215"/>
        <item x="272"/>
        <item x="288"/>
        <item x="214"/>
        <item x="90"/>
        <item x="21"/>
        <item x="227"/>
        <item x="142"/>
        <item x="314"/>
        <item x="162"/>
        <item x="322"/>
        <item x="181"/>
        <item x="247"/>
        <item x="387"/>
        <item x="45"/>
        <item x="270"/>
        <item x="92"/>
        <item x="226"/>
        <item x="262"/>
        <item x="266"/>
        <item x="311"/>
        <item x="46"/>
        <item x="32"/>
        <item x="388"/>
        <item x="184"/>
        <item x="66"/>
        <item x="164"/>
        <item x="282"/>
        <item x="329"/>
        <item x="346"/>
        <item x="136"/>
        <item x="182"/>
        <item x="156"/>
        <item x="297"/>
        <item x="395"/>
        <item x="367"/>
        <item x="353"/>
        <item x="194"/>
        <item x="13"/>
        <item x="77"/>
        <item x="171"/>
        <item x="319"/>
        <item x="372"/>
        <item x="76"/>
        <item x="155"/>
        <item x="305"/>
        <item x="42"/>
        <item x="56"/>
        <item x="81"/>
        <item x="146"/>
        <item x="51"/>
        <item x="8"/>
        <item x="64"/>
        <item x="30"/>
        <item x="147"/>
        <item x="89"/>
        <item x="174"/>
        <item x="286"/>
        <item x="133"/>
        <item x="104"/>
        <item x="212"/>
        <item x="4"/>
        <item x="398"/>
        <item x="308"/>
        <item x="290"/>
        <item x="84"/>
        <item x="267"/>
        <item x="73"/>
        <item x="261"/>
        <item x="20"/>
        <item x="236"/>
        <item x="153"/>
        <item x="163"/>
        <item x="159"/>
        <item x="326"/>
        <item x="80"/>
        <item x="23"/>
        <item x="368"/>
        <item x="202"/>
        <item x="239"/>
        <item x="33"/>
        <item x="60"/>
        <item x="0"/>
        <item x="41"/>
        <item x="228"/>
        <item x="268"/>
        <item x="70"/>
        <item x="177"/>
        <item x="209"/>
        <item x="17"/>
        <item x="189"/>
        <item x="383"/>
        <item x="344"/>
        <item x="185"/>
        <item x="172"/>
        <item x="377"/>
        <item x="304"/>
        <item x="22"/>
        <item x="49"/>
        <item x="5"/>
        <item x="253"/>
        <item x="113"/>
        <item x="206"/>
        <item x="349"/>
        <item x="354"/>
        <item x="312"/>
        <item x="71"/>
        <item x="144"/>
        <item x="257"/>
        <item x="50"/>
        <item x="366"/>
        <item x="378"/>
        <item x="255"/>
        <item x="190"/>
        <item x="39"/>
        <item x="109"/>
        <item x="132"/>
        <item x="199"/>
        <item x="186"/>
        <item x="345"/>
        <item x="117"/>
        <item x="333"/>
        <item x="180"/>
        <item x="318"/>
        <item x="310"/>
        <item x="86"/>
        <item x="371"/>
        <item x="393"/>
        <item x="315"/>
        <item x="271"/>
        <item x="37"/>
        <item x="99"/>
        <item x="54"/>
        <item x="263"/>
        <item x="12"/>
        <item x="111"/>
        <item x="105"/>
        <item x="149"/>
        <item x="355"/>
        <item x="52"/>
        <item x="339"/>
        <item x="384"/>
        <item x="386"/>
        <item x="11"/>
        <item x="38"/>
        <item x="327"/>
        <item x="1"/>
        <item x="373"/>
        <item x="299"/>
        <item x="348"/>
        <item x="287"/>
        <item x="31"/>
        <item x="195"/>
        <item x="179"/>
        <item x="246"/>
        <item x="165"/>
        <item x="24"/>
        <item x="307"/>
        <item x="154"/>
        <item x="313"/>
        <item x="141"/>
        <item x="281"/>
        <item x="223"/>
        <item x="278"/>
        <item x="301"/>
        <item x="323"/>
        <item x="205"/>
        <item x="362"/>
        <item x="374"/>
        <item x="359"/>
        <item x="128"/>
        <item x="140"/>
        <item x="294"/>
        <item x="277"/>
        <item x="114"/>
        <item x="320"/>
        <item x="26"/>
        <item x="397"/>
        <item x="396"/>
        <item x="289"/>
        <item x="28"/>
        <item x="220"/>
        <item x="44"/>
        <item x="251"/>
        <item x="235"/>
        <item x="75"/>
        <item x="276"/>
        <item x="390"/>
        <item x="55"/>
        <item x="74"/>
        <item x="40"/>
        <item x="143"/>
        <item x="391"/>
        <item x="302"/>
        <item x="106"/>
        <item x="218"/>
        <item x="351"/>
        <item x="321"/>
        <item x="213"/>
        <item x="347"/>
        <item x="122"/>
        <item x="382"/>
        <item x="356"/>
        <item x="203"/>
        <item x="330"/>
        <item x="34"/>
        <item x="325"/>
        <item x="245"/>
        <item x="130"/>
        <item x="340"/>
        <item x="183"/>
        <item x="115"/>
        <item x="280"/>
        <item x="222"/>
        <item x="343"/>
        <item x="93"/>
        <item x="161"/>
        <item x="188"/>
        <item x="96"/>
        <item x="324"/>
        <item x="264"/>
        <item x="285"/>
        <item x="95"/>
        <item x="279"/>
        <item x="244"/>
        <item x="231"/>
        <item x="200"/>
        <item x="94"/>
        <item x="258"/>
        <item x="129"/>
        <item x="62"/>
        <item x="207"/>
        <item x="369"/>
        <item x="243"/>
        <item x="118"/>
        <item x="69"/>
        <item x="260"/>
        <item x="67"/>
        <item x="370"/>
        <item x="158"/>
        <item x="19"/>
        <item x="119"/>
        <item x="265"/>
        <item x="331"/>
        <item x="402"/>
        <item x="127"/>
        <item x="148"/>
        <item x="9"/>
        <item x="131"/>
        <item x="187"/>
        <item x="48"/>
        <item x="221"/>
        <item x="296"/>
        <item x="157"/>
        <item x="137"/>
        <item x="229"/>
        <item x="274"/>
        <item x="352"/>
        <item x="365"/>
        <item x="350"/>
        <item x="112"/>
        <item x="58"/>
        <item x="225"/>
        <item t="default"/>
      </items>
    </pivotField>
    <pivotField showAll="0">
      <items count="6">
        <item x="2"/>
        <item x="4"/>
        <item x="0"/>
        <item x="1"/>
        <item x="3"/>
        <item t="default"/>
      </items>
    </pivotField>
    <pivotField showAll="0"/>
    <pivotField showAll="0">
      <items count="13">
        <item x="5"/>
        <item x="1"/>
        <item x="6"/>
        <item x="2"/>
        <item x="9"/>
        <item x="0"/>
        <item x="7"/>
        <item x="8"/>
        <item x="3"/>
        <item x="11"/>
        <item x="10"/>
        <item x="4"/>
        <item t="default"/>
      </items>
    </pivotField>
    <pivotField showAll="0"/>
    <pivotField showAll="0"/>
    <pivotField showAll="0"/>
    <pivotField showAll="0"/>
    <pivotField axis="axisRow" showAll="0" sortType="ascending">
      <items count="10">
        <item x="3"/>
        <item x="8"/>
        <item x="1"/>
        <item x="7"/>
        <item x="5"/>
        <item x="4"/>
        <item x="2"/>
        <item x="0"/>
        <item x="6"/>
        <item t="default"/>
      </items>
      <autoSortScope>
        <pivotArea dataOnly="0" outline="0" fieldPosition="0">
          <references count="1">
            <reference field="4294967294" count="1" selected="0">
              <x v="0"/>
            </reference>
          </references>
        </pivotArea>
      </autoSortScope>
    </pivotField>
    <pivotField showAll="0"/>
    <pivotField numFmtId="3" showAll="0"/>
    <pivotField numFmtId="3" showAll="0"/>
    <pivotField showAll="0"/>
    <pivotField numFmtId="3" showAll="0"/>
    <pivotField dataField="1" numFmtId="3" showAll="0"/>
    <pivotField numFmtId="3" showAll="0"/>
    <pivotField numFmtId="10" showAll="0"/>
    <pivotField showAll="0" defaultSubtotal="0"/>
    <pivotField showAll="0" defaultSubtotal="0"/>
    <pivotField showAll="0" defaultSubtotal="0">
      <items count="7">
        <item x="0"/>
        <item x="1"/>
        <item x="2"/>
        <item x="3"/>
        <item x="4"/>
        <item x="5"/>
        <item x="6"/>
      </items>
    </pivotField>
  </pivotFields>
  <rowFields count="1">
    <field x="9"/>
  </rowFields>
  <rowItems count="9">
    <i>
      <x v="3"/>
    </i>
    <i>
      <x v="2"/>
    </i>
    <i>
      <x v="7"/>
    </i>
    <i>
      <x v="1"/>
    </i>
    <i>
      <x v="5"/>
    </i>
    <i>
      <x/>
    </i>
    <i>
      <x v="4"/>
    </i>
    <i>
      <x v="8"/>
    </i>
    <i>
      <x v="6"/>
    </i>
  </rowItems>
  <colItems count="1">
    <i/>
  </colItems>
  <dataFields count="1">
    <dataField name="Sum of Total Sales Value" fld="15" baseField="0" baseItem="0" numFmtId="164"/>
  </dataFields>
  <formats count="2">
    <format dxfId="12">
      <pivotArea outline="0" collapsedLevelsAreSubtotals="1" fieldPosition="0"/>
    </format>
    <format dxfId="13">
      <pivotArea dataOnly="0" labelOnly="1" outline="0" axis="axisValues" fieldPosition="0"/>
    </format>
  </formats>
  <chartFormats count="10">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6"/>
          </reference>
        </references>
      </pivotArea>
    </chartFormat>
    <chartFormat chart="2" format="4">
      <pivotArea type="data" outline="0" fieldPosition="0">
        <references count="2">
          <reference field="4294967294" count="1" selected="0">
            <x v="0"/>
          </reference>
          <reference field="9" count="1" selected="0">
            <x v="8"/>
          </reference>
        </references>
      </pivotArea>
    </chartFormat>
    <chartFormat chart="2" format="5">
      <pivotArea type="data" outline="0" fieldPosition="0">
        <references count="2">
          <reference field="4294967294" count="1" selected="0">
            <x v="0"/>
          </reference>
          <reference field="9" count="1" selected="0">
            <x v="4"/>
          </reference>
        </references>
      </pivotArea>
    </chartFormat>
    <chartFormat chart="2" format="6">
      <pivotArea type="data" outline="0" fieldPosition="0">
        <references count="2">
          <reference field="4294967294" count="1" selected="0">
            <x v="0"/>
          </reference>
          <reference field="9" count="1" selected="0">
            <x v="0"/>
          </reference>
        </references>
      </pivotArea>
    </chartFormat>
    <chartFormat chart="2" format="7">
      <pivotArea type="data" outline="0" fieldPosition="0">
        <references count="2">
          <reference field="4294967294" count="1" selected="0">
            <x v="0"/>
          </reference>
          <reference field="9" count="1" selected="0">
            <x v="5"/>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 chart="2" format="9">
      <pivotArea type="data" outline="0" fieldPosition="0">
        <references count="2">
          <reference field="4294967294" count="1" selected="0">
            <x v="0"/>
          </reference>
          <reference field="9" count="1" selected="0">
            <x v="7"/>
          </reference>
        </references>
      </pivotArea>
    </chartFormat>
    <chartFormat chart="2" format="10">
      <pivotArea type="data" outline="0" fieldPosition="0">
        <references count="2">
          <reference field="4294967294" count="1" selected="0">
            <x v="0"/>
          </reference>
          <reference field="9" count="1" selected="0">
            <x v="2"/>
          </reference>
        </references>
      </pivotArea>
    </chartFormat>
    <chartFormat chart="2" format="1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9CE6C0-45A8-4779-9DFF-22E1CE491E3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8" firstHeaderRow="1" firstDataRow="1" firstDataCol="1"/>
  <pivotFields count="21">
    <pivotField showAll="0"/>
    <pivotField numFmtId="14" showAll="0">
      <items count="404">
        <item x="98"/>
        <item x="298"/>
        <item x="2"/>
        <item x="29"/>
        <item x="14"/>
        <item x="208"/>
        <item x="364"/>
        <item x="335"/>
        <item x="175"/>
        <item x="121"/>
        <item x="173"/>
        <item x="63"/>
        <item x="134"/>
        <item x="145"/>
        <item x="232"/>
        <item x="3"/>
        <item x="135"/>
        <item x="82"/>
        <item x="139"/>
        <item x="399"/>
        <item x="193"/>
        <item x="27"/>
        <item x="197"/>
        <item x="219"/>
        <item x="16"/>
        <item x="36"/>
        <item x="224"/>
        <item x="400"/>
        <item x="110"/>
        <item x="238"/>
        <item x="72"/>
        <item x="317"/>
        <item x="360"/>
        <item x="337"/>
        <item x="191"/>
        <item x="211"/>
        <item x="6"/>
        <item x="292"/>
        <item x="178"/>
        <item x="241"/>
        <item x="151"/>
        <item x="166"/>
        <item x="392"/>
        <item x="273"/>
        <item x="57"/>
        <item x="233"/>
        <item x="230"/>
        <item x="216"/>
        <item x="103"/>
        <item x="291"/>
        <item x="250"/>
        <item x="116"/>
        <item x="107"/>
        <item x="201"/>
        <item x="385"/>
        <item x="192"/>
        <item x="357"/>
        <item x="256"/>
        <item x="332"/>
        <item x="102"/>
        <item x="79"/>
        <item x="328"/>
        <item x="376"/>
        <item x="295"/>
        <item x="43"/>
        <item x="83"/>
        <item x="125"/>
        <item x="334"/>
        <item x="198"/>
        <item x="138"/>
        <item x="53"/>
        <item x="59"/>
        <item x="394"/>
        <item x="7"/>
        <item x="169"/>
        <item x="363"/>
        <item x="123"/>
        <item x="35"/>
        <item x="152"/>
        <item x="167"/>
        <item x="87"/>
        <item x="259"/>
        <item x="275"/>
        <item x="170"/>
        <item x="361"/>
        <item x="303"/>
        <item x="108"/>
        <item x="300"/>
        <item x="358"/>
        <item x="217"/>
        <item x="15"/>
        <item x="78"/>
        <item x="237"/>
        <item x="210"/>
        <item x="316"/>
        <item x="242"/>
        <item x="375"/>
        <item x="10"/>
        <item x="61"/>
        <item x="234"/>
        <item x="150"/>
        <item x="381"/>
        <item x="293"/>
        <item x="126"/>
        <item x="309"/>
        <item x="269"/>
        <item x="196"/>
        <item x="248"/>
        <item x="160"/>
        <item x="97"/>
        <item x="120"/>
        <item x="342"/>
        <item x="65"/>
        <item x="401"/>
        <item x="336"/>
        <item x="252"/>
        <item x="88"/>
        <item x="101"/>
        <item x="284"/>
        <item x="176"/>
        <item x="204"/>
        <item x="389"/>
        <item x="240"/>
        <item x="68"/>
        <item x="100"/>
        <item x="25"/>
        <item x="341"/>
        <item x="47"/>
        <item x="124"/>
        <item x="306"/>
        <item x="85"/>
        <item x="380"/>
        <item x="379"/>
        <item x="338"/>
        <item x="283"/>
        <item x="18"/>
        <item x="249"/>
        <item x="91"/>
        <item x="254"/>
        <item x="168"/>
        <item x="215"/>
        <item x="272"/>
        <item x="288"/>
        <item x="214"/>
        <item x="90"/>
        <item x="21"/>
        <item x="227"/>
        <item x="142"/>
        <item x="314"/>
        <item x="162"/>
        <item x="322"/>
        <item x="181"/>
        <item x="247"/>
        <item x="387"/>
        <item x="45"/>
        <item x="270"/>
        <item x="92"/>
        <item x="226"/>
        <item x="262"/>
        <item x="266"/>
        <item x="311"/>
        <item x="46"/>
        <item x="32"/>
        <item x="388"/>
        <item x="184"/>
        <item x="66"/>
        <item x="164"/>
        <item x="282"/>
        <item x="329"/>
        <item x="346"/>
        <item x="136"/>
        <item x="182"/>
        <item x="156"/>
        <item x="297"/>
        <item x="395"/>
        <item x="367"/>
        <item x="353"/>
        <item x="194"/>
        <item x="13"/>
        <item x="77"/>
        <item x="171"/>
        <item x="319"/>
        <item x="372"/>
        <item x="76"/>
        <item x="155"/>
        <item x="305"/>
        <item x="42"/>
        <item x="56"/>
        <item x="81"/>
        <item x="146"/>
        <item x="51"/>
        <item x="8"/>
        <item x="64"/>
        <item x="30"/>
        <item x="147"/>
        <item x="89"/>
        <item x="174"/>
        <item x="286"/>
        <item x="133"/>
        <item x="104"/>
        <item x="212"/>
        <item x="4"/>
        <item x="398"/>
        <item x="308"/>
        <item x="290"/>
        <item x="84"/>
        <item x="267"/>
        <item x="73"/>
        <item x="261"/>
        <item x="20"/>
        <item x="236"/>
        <item x="153"/>
        <item x="163"/>
        <item x="159"/>
        <item x="326"/>
        <item x="80"/>
        <item x="23"/>
        <item x="368"/>
        <item x="202"/>
        <item x="239"/>
        <item x="33"/>
        <item x="60"/>
        <item x="0"/>
        <item x="41"/>
        <item x="228"/>
        <item x="268"/>
        <item x="70"/>
        <item x="177"/>
        <item x="209"/>
        <item x="17"/>
        <item x="189"/>
        <item x="383"/>
        <item x="344"/>
        <item x="185"/>
        <item x="172"/>
        <item x="377"/>
        <item x="304"/>
        <item x="22"/>
        <item x="49"/>
        <item x="5"/>
        <item x="253"/>
        <item x="113"/>
        <item x="206"/>
        <item x="349"/>
        <item x="354"/>
        <item x="312"/>
        <item x="71"/>
        <item x="144"/>
        <item x="257"/>
        <item x="50"/>
        <item x="366"/>
        <item x="378"/>
        <item x="255"/>
        <item x="190"/>
        <item x="39"/>
        <item x="109"/>
        <item x="132"/>
        <item x="199"/>
        <item x="186"/>
        <item x="345"/>
        <item x="117"/>
        <item x="333"/>
        <item x="180"/>
        <item x="318"/>
        <item x="310"/>
        <item x="86"/>
        <item x="371"/>
        <item x="393"/>
        <item x="315"/>
        <item x="271"/>
        <item x="37"/>
        <item x="99"/>
        <item x="54"/>
        <item x="263"/>
        <item x="12"/>
        <item x="111"/>
        <item x="105"/>
        <item x="149"/>
        <item x="355"/>
        <item x="52"/>
        <item x="339"/>
        <item x="384"/>
        <item x="386"/>
        <item x="11"/>
        <item x="38"/>
        <item x="327"/>
        <item x="1"/>
        <item x="373"/>
        <item x="299"/>
        <item x="348"/>
        <item x="287"/>
        <item x="31"/>
        <item x="195"/>
        <item x="179"/>
        <item x="246"/>
        <item x="165"/>
        <item x="24"/>
        <item x="307"/>
        <item x="154"/>
        <item x="313"/>
        <item x="141"/>
        <item x="281"/>
        <item x="223"/>
        <item x="278"/>
        <item x="301"/>
        <item x="323"/>
        <item x="205"/>
        <item x="362"/>
        <item x="374"/>
        <item x="359"/>
        <item x="128"/>
        <item x="140"/>
        <item x="294"/>
        <item x="277"/>
        <item x="114"/>
        <item x="320"/>
        <item x="26"/>
        <item x="397"/>
        <item x="396"/>
        <item x="289"/>
        <item x="28"/>
        <item x="220"/>
        <item x="44"/>
        <item x="251"/>
        <item x="235"/>
        <item x="75"/>
        <item x="276"/>
        <item x="390"/>
        <item x="55"/>
        <item x="74"/>
        <item x="40"/>
        <item x="143"/>
        <item x="391"/>
        <item x="302"/>
        <item x="106"/>
        <item x="218"/>
        <item x="351"/>
        <item x="321"/>
        <item x="213"/>
        <item x="347"/>
        <item x="122"/>
        <item x="382"/>
        <item x="356"/>
        <item x="203"/>
        <item x="330"/>
        <item x="34"/>
        <item x="325"/>
        <item x="245"/>
        <item x="130"/>
        <item x="340"/>
        <item x="183"/>
        <item x="115"/>
        <item x="280"/>
        <item x="222"/>
        <item x="343"/>
        <item x="93"/>
        <item x="161"/>
        <item x="188"/>
        <item x="96"/>
        <item x="324"/>
        <item x="264"/>
        <item x="285"/>
        <item x="95"/>
        <item x="279"/>
        <item x="244"/>
        <item x="231"/>
        <item x="200"/>
        <item x="94"/>
        <item x="258"/>
        <item x="129"/>
        <item x="62"/>
        <item x="207"/>
        <item x="369"/>
        <item x="243"/>
        <item x="118"/>
        <item x="69"/>
        <item x="260"/>
        <item x="67"/>
        <item x="370"/>
        <item x="158"/>
        <item x="19"/>
        <item x="119"/>
        <item x="265"/>
        <item x="331"/>
        <item x="402"/>
        <item x="127"/>
        <item x="148"/>
        <item x="9"/>
        <item x="131"/>
        <item x="187"/>
        <item x="48"/>
        <item x="221"/>
        <item x="296"/>
        <item x="157"/>
        <item x="137"/>
        <item x="229"/>
        <item x="274"/>
        <item x="352"/>
        <item x="365"/>
        <item x="350"/>
        <item x="112"/>
        <item x="58"/>
        <item x="225"/>
        <item t="default"/>
      </items>
    </pivotField>
    <pivotField showAll="0">
      <items count="6">
        <item x="2"/>
        <item x="4"/>
        <item x="0"/>
        <item x="1"/>
        <item x="3"/>
        <item t="default"/>
      </items>
    </pivotField>
    <pivotField showAll="0"/>
    <pivotField showAll="0">
      <items count="13">
        <item x="5"/>
        <item x="1"/>
        <item x="6"/>
        <item x="2"/>
        <item x="9"/>
        <item x="0"/>
        <item x="7"/>
        <item x="8"/>
        <item x="3"/>
        <item x="11"/>
        <item x="10"/>
        <item x="4"/>
        <item t="default"/>
      </items>
    </pivotField>
    <pivotField showAll="0"/>
    <pivotField axis="axisRow" showAll="0" measureFilter="1" sortType="descending">
      <items count="21">
        <item x="8"/>
        <item x="17"/>
        <item x="18"/>
        <item x="15"/>
        <item x="19"/>
        <item x="1"/>
        <item x="2"/>
        <item x="0"/>
        <item x="12"/>
        <item x="13"/>
        <item x="4"/>
        <item x="11"/>
        <item x="7"/>
        <item x="9"/>
        <item x="16"/>
        <item x="6"/>
        <item x="10"/>
        <item x="3"/>
        <item x="5"/>
        <item x="14"/>
        <item t="default"/>
      </items>
      <autoSortScope>
        <pivotArea dataOnly="0" outline="0" fieldPosition="0">
          <references count="1">
            <reference field="4294967294" count="1" selected="0">
              <x v="0"/>
            </reference>
          </references>
        </pivotArea>
      </autoSortScope>
    </pivotField>
    <pivotField showAll="0">
      <items count="6">
        <item x="4"/>
        <item x="0"/>
        <item x="2"/>
        <item x="1"/>
        <item x="3"/>
        <item t="default"/>
      </items>
    </pivotField>
    <pivotField showAll="0"/>
    <pivotField showAll="0">
      <items count="10">
        <item x="6"/>
        <item x="0"/>
        <item x="2"/>
        <item x="4"/>
        <item x="5"/>
        <item x="7"/>
        <item x="1"/>
        <item x="8"/>
        <item x="3"/>
        <item t="default"/>
      </items>
    </pivotField>
    <pivotField showAll="0"/>
    <pivotField numFmtId="3" showAll="0"/>
    <pivotField numFmtId="3" showAll="0"/>
    <pivotField showAll="0"/>
    <pivotField numFmtId="3" showAll="0"/>
    <pivotField dataField="1" numFmtId="3" showAll="0"/>
    <pivotField numFmtId="3" showAll="0"/>
    <pivotField numFmtId="10" showAll="0"/>
    <pivotField showAll="0" defaultSubtotal="0"/>
    <pivotField showAll="0" defaultSubtotal="0"/>
    <pivotField showAll="0" defaultSubtotal="0">
      <items count="7">
        <item x="0"/>
        <item x="1"/>
        <item x="2"/>
        <item x="3"/>
        <item x="4"/>
        <item x="5"/>
        <item x="6"/>
      </items>
    </pivotField>
  </pivotFields>
  <rowFields count="1">
    <field x="6"/>
  </rowFields>
  <rowItems count="5">
    <i>
      <x v="15"/>
    </i>
    <i>
      <x v="10"/>
    </i>
    <i>
      <x v="6"/>
    </i>
    <i>
      <x v="7"/>
    </i>
    <i>
      <x v="19"/>
    </i>
  </rowItems>
  <colItems count="1">
    <i/>
  </colItems>
  <dataFields count="1">
    <dataField name="Sum of Total Sales Value" fld="15" baseField="0" baseItem="0" numFmtId="164"/>
  </dataFields>
  <formats count="2">
    <format dxfId="0">
      <pivotArea outline="0" collapsedLevelsAreSubtotals="1" fieldPosition="0"/>
    </format>
    <format dxfId="1">
      <pivotArea dataOnly="0" labelOnly="1" outline="0" axis="axisValues" fieldPosition="0"/>
    </format>
  </formats>
  <chartFormats count="6">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6" count="1" selected="0">
            <x v="15"/>
          </reference>
        </references>
      </pivotArea>
    </chartFormat>
    <chartFormat chart="2" format="14">
      <pivotArea type="data" outline="0" fieldPosition="0">
        <references count="2">
          <reference field="4294967294" count="1" selected="0">
            <x v="0"/>
          </reference>
          <reference field="6" count="1" selected="0">
            <x v="10"/>
          </reference>
        </references>
      </pivotArea>
    </chartFormat>
    <chartFormat chart="2" format="15">
      <pivotArea type="data" outline="0" fieldPosition="0">
        <references count="2">
          <reference field="4294967294" count="1" selected="0">
            <x v="0"/>
          </reference>
          <reference field="6" count="1" selected="0">
            <x v="6"/>
          </reference>
        </references>
      </pivotArea>
    </chartFormat>
    <chartFormat chart="2" format="16">
      <pivotArea type="data" outline="0" fieldPosition="0">
        <references count="2">
          <reference field="4294967294" count="1" selected="0">
            <x v="0"/>
          </reference>
          <reference field="6" count="1" selected="0">
            <x v="7"/>
          </reference>
        </references>
      </pivotArea>
    </chartFormat>
    <chartFormat chart="2" format="17">
      <pivotArea type="data" outline="0" fieldPosition="0">
        <references count="2">
          <reference field="4294967294" count="1" selected="0">
            <x v="0"/>
          </reference>
          <reference field="6" count="1" selected="0">
            <x v="19"/>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D6DEF4-3476-426E-8EF8-1BBE0B4806C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9" firstHeaderRow="1" firstDataRow="1" firstDataCol="1"/>
  <pivotFields count="21">
    <pivotField showAll="0"/>
    <pivotField numFmtId="14" showAll="0">
      <items count="404">
        <item x="98"/>
        <item x="298"/>
        <item x="2"/>
        <item x="29"/>
        <item x="14"/>
        <item x="208"/>
        <item x="364"/>
        <item x="335"/>
        <item x="175"/>
        <item x="121"/>
        <item x="173"/>
        <item x="63"/>
        <item x="134"/>
        <item x="145"/>
        <item x="232"/>
        <item x="3"/>
        <item x="135"/>
        <item x="82"/>
        <item x="139"/>
        <item x="399"/>
        <item x="193"/>
        <item x="27"/>
        <item x="197"/>
        <item x="219"/>
        <item x="16"/>
        <item x="36"/>
        <item x="224"/>
        <item x="400"/>
        <item x="110"/>
        <item x="238"/>
        <item x="72"/>
        <item x="317"/>
        <item x="360"/>
        <item x="337"/>
        <item x="191"/>
        <item x="211"/>
        <item x="6"/>
        <item x="292"/>
        <item x="178"/>
        <item x="241"/>
        <item x="151"/>
        <item x="166"/>
        <item x="392"/>
        <item x="273"/>
        <item x="57"/>
        <item x="233"/>
        <item x="230"/>
        <item x="216"/>
        <item x="103"/>
        <item x="291"/>
        <item x="250"/>
        <item x="116"/>
        <item x="107"/>
        <item x="201"/>
        <item x="385"/>
        <item x="192"/>
        <item x="357"/>
        <item x="256"/>
        <item x="332"/>
        <item x="102"/>
        <item x="79"/>
        <item x="328"/>
        <item x="376"/>
        <item x="295"/>
        <item x="43"/>
        <item x="83"/>
        <item x="125"/>
        <item x="334"/>
        <item x="198"/>
        <item x="138"/>
        <item x="53"/>
        <item x="59"/>
        <item x="394"/>
        <item x="7"/>
        <item x="169"/>
        <item x="363"/>
        <item x="123"/>
        <item x="35"/>
        <item x="152"/>
        <item x="167"/>
        <item x="87"/>
        <item x="259"/>
        <item x="275"/>
        <item x="170"/>
        <item x="361"/>
        <item x="303"/>
        <item x="108"/>
        <item x="300"/>
        <item x="358"/>
        <item x="217"/>
        <item x="15"/>
        <item x="78"/>
        <item x="237"/>
        <item x="210"/>
        <item x="316"/>
        <item x="242"/>
        <item x="375"/>
        <item x="10"/>
        <item x="61"/>
        <item x="234"/>
        <item x="150"/>
        <item x="381"/>
        <item x="293"/>
        <item x="126"/>
        <item x="309"/>
        <item x="269"/>
        <item x="196"/>
        <item x="248"/>
        <item x="160"/>
        <item x="97"/>
        <item x="120"/>
        <item x="342"/>
        <item x="65"/>
        <item x="401"/>
        <item x="336"/>
        <item x="252"/>
        <item x="88"/>
        <item x="101"/>
        <item x="284"/>
        <item x="176"/>
        <item x="204"/>
        <item x="389"/>
        <item x="240"/>
        <item x="68"/>
        <item x="100"/>
        <item x="25"/>
        <item x="341"/>
        <item x="47"/>
        <item x="124"/>
        <item x="306"/>
        <item x="85"/>
        <item x="380"/>
        <item x="379"/>
        <item x="338"/>
        <item x="283"/>
        <item x="18"/>
        <item x="249"/>
        <item x="91"/>
        <item x="254"/>
        <item x="168"/>
        <item x="215"/>
        <item x="272"/>
        <item x="288"/>
        <item x="214"/>
        <item x="90"/>
        <item x="21"/>
        <item x="227"/>
        <item x="142"/>
        <item x="314"/>
        <item x="162"/>
        <item x="322"/>
        <item x="181"/>
        <item x="247"/>
        <item x="387"/>
        <item x="45"/>
        <item x="270"/>
        <item x="92"/>
        <item x="226"/>
        <item x="262"/>
        <item x="266"/>
        <item x="311"/>
        <item x="46"/>
        <item x="32"/>
        <item x="388"/>
        <item x="184"/>
        <item x="66"/>
        <item x="164"/>
        <item x="282"/>
        <item x="329"/>
        <item x="346"/>
        <item x="136"/>
        <item x="182"/>
        <item x="156"/>
        <item x="297"/>
        <item x="395"/>
        <item x="367"/>
        <item x="353"/>
        <item x="194"/>
        <item x="13"/>
        <item x="77"/>
        <item x="171"/>
        <item x="319"/>
        <item x="372"/>
        <item x="76"/>
        <item x="155"/>
        <item x="305"/>
        <item x="42"/>
        <item x="56"/>
        <item x="81"/>
        <item x="146"/>
        <item x="51"/>
        <item x="8"/>
        <item x="64"/>
        <item x="30"/>
        <item x="147"/>
        <item x="89"/>
        <item x="174"/>
        <item x="286"/>
        <item x="133"/>
        <item x="104"/>
        <item x="212"/>
        <item x="4"/>
        <item x="398"/>
        <item x="308"/>
        <item x="290"/>
        <item x="84"/>
        <item x="267"/>
        <item x="73"/>
        <item x="261"/>
        <item x="20"/>
        <item x="236"/>
        <item x="153"/>
        <item x="163"/>
        <item x="159"/>
        <item x="326"/>
        <item x="80"/>
        <item x="23"/>
        <item x="368"/>
        <item x="202"/>
        <item x="239"/>
        <item x="33"/>
        <item x="60"/>
        <item x="0"/>
        <item x="41"/>
        <item x="228"/>
        <item x="268"/>
        <item x="70"/>
        <item x="177"/>
        <item x="209"/>
        <item x="17"/>
        <item x="189"/>
        <item x="383"/>
        <item x="344"/>
        <item x="185"/>
        <item x="172"/>
        <item x="377"/>
        <item x="304"/>
        <item x="22"/>
        <item x="49"/>
        <item x="5"/>
        <item x="253"/>
        <item x="113"/>
        <item x="206"/>
        <item x="349"/>
        <item x="354"/>
        <item x="312"/>
        <item x="71"/>
        <item x="144"/>
        <item x="257"/>
        <item x="50"/>
        <item x="366"/>
        <item x="378"/>
        <item x="255"/>
        <item x="190"/>
        <item x="39"/>
        <item x="109"/>
        <item x="132"/>
        <item x="199"/>
        <item x="186"/>
        <item x="345"/>
        <item x="117"/>
        <item x="333"/>
        <item x="180"/>
        <item x="318"/>
        <item x="310"/>
        <item x="86"/>
        <item x="371"/>
        <item x="393"/>
        <item x="315"/>
        <item x="271"/>
        <item x="37"/>
        <item x="99"/>
        <item x="54"/>
        <item x="263"/>
        <item x="12"/>
        <item x="111"/>
        <item x="105"/>
        <item x="149"/>
        <item x="355"/>
        <item x="52"/>
        <item x="339"/>
        <item x="384"/>
        <item x="386"/>
        <item x="11"/>
        <item x="38"/>
        <item x="327"/>
        <item x="1"/>
        <item x="373"/>
        <item x="299"/>
        <item x="348"/>
        <item x="287"/>
        <item x="31"/>
        <item x="195"/>
        <item x="179"/>
        <item x="246"/>
        <item x="165"/>
        <item x="24"/>
        <item x="307"/>
        <item x="154"/>
        <item x="313"/>
        <item x="141"/>
        <item x="281"/>
        <item x="223"/>
        <item x="278"/>
        <item x="301"/>
        <item x="323"/>
        <item x="205"/>
        <item x="362"/>
        <item x="374"/>
        <item x="359"/>
        <item x="128"/>
        <item x="140"/>
        <item x="294"/>
        <item x="277"/>
        <item x="114"/>
        <item x="320"/>
        <item x="26"/>
        <item x="397"/>
        <item x="396"/>
        <item x="289"/>
        <item x="28"/>
        <item x="220"/>
        <item x="44"/>
        <item x="251"/>
        <item x="235"/>
        <item x="75"/>
        <item x="276"/>
        <item x="390"/>
        <item x="55"/>
        <item x="74"/>
        <item x="40"/>
        <item x="143"/>
        <item x="391"/>
        <item x="302"/>
        <item x="106"/>
        <item x="218"/>
        <item x="351"/>
        <item x="321"/>
        <item x="213"/>
        <item x="347"/>
        <item x="122"/>
        <item x="382"/>
        <item x="356"/>
        <item x="203"/>
        <item x="330"/>
        <item x="34"/>
        <item x="325"/>
        <item x="245"/>
        <item x="130"/>
        <item x="340"/>
        <item x="183"/>
        <item x="115"/>
        <item x="280"/>
        <item x="222"/>
        <item x="343"/>
        <item x="93"/>
        <item x="161"/>
        <item x="188"/>
        <item x="96"/>
        <item x="324"/>
        <item x="264"/>
        <item x="285"/>
        <item x="95"/>
        <item x="279"/>
        <item x="244"/>
        <item x="231"/>
        <item x="200"/>
        <item x="94"/>
        <item x="258"/>
        <item x="129"/>
        <item x="62"/>
        <item x="207"/>
        <item x="369"/>
        <item x="243"/>
        <item x="118"/>
        <item x="69"/>
        <item x="260"/>
        <item x="67"/>
        <item x="370"/>
        <item x="158"/>
        <item x="19"/>
        <item x="119"/>
        <item x="265"/>
        <item x="331"/>
        <item x="402"/>
        <item x="127"/>
        <item x="148"/>
        <item x="9"/>
        <item x="131"/>
        <item x="187"/>
        <item x="48"/>
        <item x="221"/>
        <item x="296"/>
        <item x="157"/>
        <item x="137"/>
        <item x="229"/>
        <item x="274"/>
        <item x="352"/>
        <item x="365"/>
        <item x="350"/>
        <item x="112"/>
        <item x="58"/>
        <item x="225"/>
        <item t="default"/>
      </items>
    </pivotField>
    <pivotField showAll="0">
      <items count="6">
        <item x="2"/>
        <item x="4"/>
        <item x="0"/>
        <item x="1"/>
        <item x="3"/>
        <item t="default"/>
      </items>
    </pivotField>
    <pivotField showAll="0"/>
    <pivotField showAll="0">
      <items count="13">
        <item x="5"/>
        <item x="1"/>
        <item x="6"/>
        <item x="2"/>
        <item x="9"/>
        <item x="0"/>
        <item x="7"/>
        <item x="8"/>
        <item x="3"/>
        <item x="11"/>
        <item x="10"/>
        <item x="4"/>
        <item t="default"/>
      </items>
    </pivotField>
    <pivotField showAll="0"/>
    <pivotField showAll="0"/>
    <pivotField showAll="0"/>
    <pivotField showAll="0"/>
    <pivotField axis="axisRow" showAll="0" measureFilter="1" sortType="ascending">
      <items count="10">
        <item x="3"/>
        <item x="8"/>
        <item x="1"/>
        <item x="7"/>
        <item x="5"/>
        <item x="4"/>
        <item x="2"/>
        <item x="0"/>
        <item x="6"/>
        <item t="default"/>
      </items>
      <autoSortScope>
        <pivotArea dataOnly="0" outline="0" fieldPosition="0">
          <references count="1">
            <reference field="4294967294" count="1" selected="0">
              <x v="0"/>
            </reference>
          </references>
        </pivotArea>
      </autoSortScope>
    </pivotField>
    <pivotField showAll="0"/>
    <pivotField numFmtId="3" showAll="0"/>
    <pivotField numFmtId="3" showAll="0"/>
    <pivotField showAll="0"/>
    <pivotField numFmtId="3" showAll="0"/>
    <pivotField dataField="1" numFmtId="3" showAll="0"/>
    <pivotField numFmtId="3" showAll="0"/>
    <pivotField numFmtId="10" showAll="0"/>
    <pivotField showAll="0" defaultSubtotal="0"/>
    <pivotField showAll="0" defaultSubtotal="0"/>
    <pivotField showAll="0" defaultSubtotal="0">
      <items count="7">
        <item x="0"/>
        <item x="1"/>
        <item x="2"/>
        <item x="3"/>
        <item x="4"/>
        <item x="5"/>
        <item x="6"/>
      </items>
    </pivotField>
  </pivotFields>
  <rowFields count="1">
    <field x="9"/>
  </rowFields>
  <rowItems count="6">
    <i>
      <x v="5"/>
    </i>
    <i>
      <x/>
    </i>
    <i>
      <x v="4"/>
    </i>
    <i>
      <x v="8"/>
    </i>
    <i>
      <x v="6"/>
    </i>
    <i t="grand">
      <x/>
    </i>
  </rowItems>
  <colItems count="1">
    <i/>
  </colItems>
  <dataFields count="1">
    <dataField name="Sum of Total Sales Value" fld="15" baseField="0" baseItem="0"/>
  </dataField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D61CEC7-FAFF-40B6-A93B-F4D577260142}" autoFormatId="16" applyNumberFormats="0" applyBorderFormats="0" applyFontFormats="0" applyPatternFormats="0" applyAlignmentFormats="0" applyWidthHeightFormats="0">
  <queryTableRefresh nextId="19" unboundColumnsRight="2">
    <queryTableFields count="18">
      <queryTableField id="1" name="Sr No" tableColumnId="1"/>
      <queryTableField id="2" name="Date" tableColumnId="2"/>
      <queryTableField id="3" name="Year" tableColumnId="3"/>
      <queryTableField id="4" name="Month No" tableColumnId="4"/>
      <queryTableField id="5" name="Month Name" tableColumnId="5"/>
      <queryTableField id="6" name="Product_ID" tableColumnId="6"/>
      <queryTableField id="7" name="Product_Name" tableColumnId="7"/>
      <queryTableField id="8" name="Category" tableColumnId="8"/>
      <queryTableField id="9" name="Vendor" tableColumnId="9"/>
      <queryTableField id="10" name="Region" tableColumnId="10"/>
      <queryTableField id="11" name="Stock_Qty" tableColumnId="11"/>
      <queryTableField id="15" dataBound="0" tableColumnId="15"/>
      <queryTableField id="12" name="Unit Price" tableColumnId="12"/>
      <queryTableField id="13" name="Sales_Qty" tableColumnId="13"/>
      <queryTableField id="16" dataBound="0" tableColumnId="16"/>
      <queryTableField id="14" name="Total Sales Value" tableColumnId="14"/>
      <queryTableField id="17" dataBound="0" tableColumnId="17"/>
      <queryTableField id="18" dataBound="0"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730CBB3F-CB95-46BB-B9AD-185A2D6F2E7D}" autoFormatId="16" applyNumberFormats="0" applyBorderFormats="0" applyFontFormats="0" applyPatternFormats="0" applyAlignmentFormats="0" applyWidthHeightFormats="0">
  <queryTableRefresh nextId="2">
    <queryTableFields count="1">
      <queryTableField id="1" name="Custom Date"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AD7648F-AC3B-43F7-BBCE-8309AD2C1E8E}" sourceName="Year">
  <pivotTables>
    <pivotTable tabId="1" name="PivotTable3"/>
    <pivotTable tabId="1" name="PivotTable1"/>
    <pivotTable tabId="1" name="PivotTable2"/>
    <pivotTable tabId="1" name="PivotTable4"/>
    <pivotTable tabId="1" name="PivotTable6"/>
    <pivotTable tabId="1" name="PivotTable7"/>
    <pivotTable tabId="1" name="PivotTable8"/>
    <pivotTable tabId="1" name="PivotTable9"/>
    <pivotTable tabId="6" name="PivotTable1"/>
    <pivotTable tabId="6" name="PivotTable2"/>
    <pivotTable tabId="6" name="PivotTable3"/>
  </pivotTables>
  <data>
    <tabular pivotCacheId="2010649870">
      <items count="5">
        <i x="2" s="1"/>
        <i x="4"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A898A40-6DCF-4D70-963F-4B661B3487A1}" sourceName="Month Name">
  <pivotTables>
    <pivotTable tabId="1" name="PivotTable3"/>
    <pivotTable tabId="1" name="PivotTable1"/>
    <pivotTable tabId="1" name="PivotTable2"/>
    <pivotTable tabId="1" name="PivotTable4"/>
    <pivotTable tabId="1" name="PivotTable6"/>
    <pivotTable tabId="1" name="PivotTable7"/>
    <pivotTable tabId="1" name="PivotTable8"/>
    <pivotTable tabId="1" name="PivotTable9"/>
    <pivotTable tabId="6" name="PivotTable1"/>
    <pivotTable tabId="6" name="PivotTable2"/>
    <pivotTable tabId="6" name="PivotTable3"/>
  </pivotTables>
  <data>
    <tabular pivotCacheId="2010649870">
      <items count="12">
        <i x="5" s="1"/>
        <i x="1" s="1"/>
        <i x="6" s="1"/>
        <i x="2" s="1"/>
        <i x="9" s="1"/>
        <i x="0" s="1"/>
        <i x="7" s="1"/>
        <i x="8" s="1"/>
        <i x="3" s="1"/>
        <i x="11" s="1"/>
        <i x="1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18D265-8F7C-4FBF-8B8C-06132BA54673}" sourceName="Region">
  <pivotTables>
    <pivotTable tabId="1" name="PivotTable7"/>
    <pivotTable tabId="1" name="PivotTable1"/>
    <pivotTable tabId="1" name="PivotTable2"/>
    <pivotTable tabId="1" name="PivotTable3"/>
    <pivotTable tabId="1" name="PivotTable4"/>
    <pivotTable tabId="1" name="PivotTable6"/>
    <pivotTable tabId="1" name="PivotTable8"/>
    <pivotTable tabId="1" name="PivotTable9"/>
    <pivotTable tabId="6" name="PivotTable1"/>
    <pivotTable tabId="6" name="PivotTable2"/>
    <pivotTable tabId="6" name="PivotTable3"/>
  </pivotTables>
  <data>
    <tabular pivotCacheId="2010649870">
      <items count="9">
        <i x="6" s="1"/>
        <i x="0" s="1"/>
        <i x="2" s="1"/>
        <i x="4" s="1"/>
        <i x="5" s="1"/>
        <i x="7" s="1"/>
        <i x="1" s="1"/>
        <i x="8"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1C455C0-91B4-4364-864B-907FD800795D}" cache="Slicer_Year" caption="Year" style="SlicerStyleLight2" rowHeight="241300"/>
  <slicer name="Month Name" xr10:uid="{B6DB100A-DAA3-4361-8CAB-47D29A6A52FE}" cache="Slicer_Month_Name" caption="Month Name" style="SlicerStyleLight4" rowHeight="241300"/>
  <slicer name="Region" xr10:uid="{0C8892B4-BFCF-4633-BC83-0D7B4F079031}" cache="Slicer_Region" caption="Region" style="SlicerStyleDark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91C150-D5A1-47F5-A0FF-A955EE4C56E1}" name="jewels" displayName="jewels" ref="A1:R501" tableType="queryTable" totalsRowShown="0" headerRowDxfId="36" dataDxfId="35">
  <autoFilter ref="A1:R501" xr:uid="{8B91C150-D5A1-47F5-A0FF-A955EE4C56E1}"/>
  <tableColumns count="18">
    <tableColumn id="1" xr3:uid="{8A8F9AF4-2239-4919-96BE-A773141669C6}" uniqueName="1" name="Sr No" queryTableFieldId="1" dataDxfId="34"/>
    <tableColumn id="2" xr3:uid="{629F77C3-2B09-4C3F-9B04-1C5F255D3DC8}" uniqueName="2" name="Date" queryTableFieldId="2" dataDxfId="33"/>
    <tableColumn id="3" xr3:uid="{AE0B3794-3BB5-453B-BB2F-F9EFA2C65FBD}" uniqueName="3" name="Year" queryTableFieldId="3" dataDxfId="32"/>
    <tableColumn id="4" xr3:uid="{AB4E6F8C-CC64-4BD5-9853-6B9DC6022B08}" uniqueName="4" name="Month No" queryTableFieldId="4" dataDxfId="31"/>
    <tableColumn id="5" xr3:uid="{CF8C6FB9-3BE7-43D2-A23A-7049674C4B11}" uniqueName="5" name="Month Name" queryTableFieldId="5" dataDxfId="30"/>
    <tableColumn id="6" xr3:uid="{EED4AD88-31C0-41A0-8F4D-50D2E4AAF7F2}" uniqueName="6" name="Product_ID" queryTableFieldId="6" dataDxfId="29"/>
    <tableColumn id="7" xr3:uid="{95AC2C6B-E2F1-49F8-8D18-4FC445459217}" uniqueName="7" name="Product_Name" queryTableFieldId="7" dataDxfId="28"/>
    <tableColumn id="8" xr3:uid="{106A5E5B-D4E2-4CAC-9CE0-8E9A131840AA}" uniqueName="8" name="Category" queryTableFieldId="8" dataDxfId="27"/>
    <tableColumn id="9" xr3:uid="{A9D1584D-AECD-4AFA-9517-E7F6D332E421}" uniqueName="9" name="Vendor" queryTableFieldId="9" dataDxfId="26"/>
    <tableColumn id="10" xr3:uid="{6ABEB62E-8BF7-4029-B6C2-6372C6C51E5A}" uniqueName="10" name="Region" queryTableFieldId="10" dataDxfId="25"/>
    <tableColumn id="11" xr3:uid="{CB16A9CC-9E4B-4A11-ACA3-BEFB18F9B370}" uniqueName="11" name="Stock_Qty" queryTableFieldId="11" dataDxfId="24"/>
    <tableColumn id="15" xr3:uid="{03C90D52-86A6-4D05-8BEE-8E8F0794D5F2}" uniqueName="15" name="Cost " queryTableFieldId="15" dataDxfId="23">
      <calculatedColumnFormula>jewels[[#This Row],[Unit Price]]/(1+40%)</calculatedColumnFormula>
    </tableColumn>
    <tableColumn id="12" xr3:uid="{09106B60-9D8C-460A-8512-BFB4D8648115}" uniqueName="12" name="Unit Price" queryTableFieldId="12" dataDxfId="22"/>
    <tableColumn id="13" xr3:uid="{EDFFDC36-AB11-4506-91A7-D3E9CC94EC47}" uniqueName="13" name="Sales_Qty" queryTableFieldId="13" dataDxfId="21"/>
    <tableColumn id="16" xr3:uid="{23CCFE52-D4E3-4FE7-B47B-DB2AE4948F62}" uniqueName="16" name="Cost Per Unit" queryTableFieldId="16" dataDxfId="20">
      <calculatedColumnFormula>jewels[[#This Row],[Cost ]]*jewels[[#This Row],[Sales_Qty]]</calculatedColumnFormula>
    </tableColumn>
    <tableColumn id="14" xr3:uid="{9AC648EE-6A3D-4E53-AE86-4C0FAEC72D74}" uniqueName="14" name="Total Sales Value" queryTableFieldId="14" dataDxfId="19"/>
    <tableColumn id="17" xr3:uid="{8E58D7AF-8B85-4ABB-8EDB-406B8EB8F253}" uniqueName="17" name="Profit" queryTableFieldId="17" dataDxfId="18">
      <calculatedColumnFormula>jewels[[#This Row],[Total Sales Value]]-jewels[[#This Row],[Cost Per Unit]]</calculatedColumnFormula>
    </tableColumn>
    <tableColumn id="18" xr3:uid="{75C94AAC-2A29-40A4-9F4A-BBF78FD03FBF}" uniqueName="18" name="profit %" queryTableFieldId="18" dataDxfId="17">
      <calculatedColumnFormula>jewels[[#This Row],[Profit]]/jewels[[#This Row],[Cost Per Unit]]</calculatedColumnFormula>
    </tableColumn>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C9B3F1-D6F7-437F-BCA0-E9CF3E75FEA3}" name="Custom_Calendar" displayName="Custom_Calendar" ref="A1:A1462" tableType="queryTable" totalsRowShown="0" headerRowDxfId="16" dataDxfId="15">
  <autoFilter ref="A1:A1462" xr:uid="{A7C9B3F1-D6F7-437F-BCA0-E9CF3E75FEA3}"/>
  <tableColumns count="1">
    <tableColumn id="1" xr3:uid="{0E00080E-E609-4835-A31C-244AE0E0A2BD}" uniqueName="1" name="Custom Date" queryTableFieldId="1" dataDxfId="1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342C-5564-4662-B4E0-7EEF53C22AA4}">
  <dimension ref="A1:R501"/>
  <sheetViews>
    <sheetView topLeftCell="A2" workbookViewId="0">
      <selection sqref="A1:R501"/>
    </sheetView>
  </sheetViews>
  <sheetFormatPr defaultRowHeight="15" x14ac:dyDescent="0.25"/>
  <cols>
    <col min="1" max="1" width="10.28515625" bestFit="1" customWidth="1"/>
    <col min="2" max="2" width="10.42578125" bestFit="1" customWidth="1"/>
    <col min="3" max="3" width="9.5703125" bestFit="1" customWidth="1"/>
    <col min="4" max="4" width="14.5703125" bestFit="1" customWidth="1"/>
    <col min="5" max="5" width="17.28515625" bestFit="1" customWidth="1"/>
    <col min="6" max="6" width="15.28515625" bestFit="1" customWidth="1"/>
    <col min="7" max="7" width="23.85546875" bestFit="1" customWidth="1"/>
    <col min="8" max="8" width="13.42578125" bestFit="1" customWidth="1"/>
    <col min="9" max="9" width="12.140625" bestFit="1" customWidth="1"/>
    <col min="10" max="10" width="11.7109375" bestFit="1" customWidth="1"/>
    <col min="11" max="11" width="14.42578125" bestFit="1" customWidth="1"/>
    <col min="12" max="12" width="9.85546875" style="12" bestFit="1" customWidth="1"/>
    <col min="13" max="13" width="14.28515625" style="12" bestFit="1" customWidth="1"/>
    <col min="14" max="14" width="14.28515625" bestFit="1" customWidth="1"/>
    <col min="15" max="15" width="17.140625" style="12" bestFit="1" customWidth="1"/>
    <col min="16" max="16" width="20.7109375" style="12" bestFit="1" customWidth="1"/>
    <col min="17" max="17" width="10.7109375" style="12" bestFit="1" customWidth="1"/>
    <col min="18" max="18" width="12.5703125" bestFit="1" customWidth="1"/>
  </cols>
  <sheetData>
    <row r="1" spans="1:18" x14ac:dyDescent="0.25">
      <c r="A1" s="3" t="s">
        <v>0</v>
      </c>
      <c r="B1" s="3" t="s">
        <v>1</v>
      </c>
      <c r="C1" s="3" t="s">
        <v>2</v>
      </c>
      <c r="D1" s="3" t="s">
        <v>3</v>
      </c>
      <c r="E1" s="3" t="s">
        <v>4</v>
      </c>
      <c r="F1" s="3" t="s">
        <v>5</v>
      </c>
      <c r="G1" s="3" t="s">
        <v>6</v>
      </c>
      <c r="H1" s="3" t="s">
        <v>7</v>
      </c>
      <c r="I1" s="3" t="s">
        <v>8</v>
      </c>
      <c r="J1" s="3" t="s">
        <v>9</v>
      </c>
      <c r="K1" s="3" t="s">
        <v>10</v>
      </c>
      <c r="L1" s="11" t="s">
        <v>91</v>
      </c>
      <c r="M1" s="11" t="s">
        <v>11</v>
      </c>
      <c r="N1" s="3" t="s">
        <v>12</v>
      </c>
      <c r="O1" s="11" t="s">
        <v>92</v>
      </c>
      <c r="P1" s="11" t="s">
        <v>13</v>
      </c>
      <c r="Q1" s="11" t="s">
        <v>93</v>
      </c>
      <c r="R1" s="3" t="s">
        <v>94</v>
      </c>
    </row>
    <row r="2" spans="1:18" x14ac:dyDescent="0.25">
      <c r="A2" s="3">
        <v>1</v>
      </c>
      <c r="B2" s="4">
        <v>44742</v>
      </c>
      <c r="C2" s="3">
        <v>2022</v>
      </c>
      <c r="D2" s="3">
        <v>6</v>
      </c>
      <c r="E2" s="5" t="s">
        <v>14</v>
      </c>
      <c r="F2" s="3">
        <v>365</v>
      </c>
      <c r="G2" s="5" t="s">
        <v>15</v>
      </c>
      <c r="H2" s="5" t="s">
        <v>16</v>
      </c>
      <c r="I2" s="5" t="s">
        <v>17</v>
      </c>
      <c r="J2" s="5" t="s">
        <v>18</v>
      </c>
      <c r="K2" s="3">
        <v>50</v>
      </c>
      <c r="L2" s="11">
        <f>jewels[[#This Row],[Unit Price]]/(1+40%)</f>
        <v>5842908.5714285718</v>
      </c>
      <c r="M2" s="11">
        <v>8180072</v>
      </c>
      <c r="N2" s="3">
        <v>1</v>
      </c>
      <c r="O2" s="11">
        <f>jewels[[#This Row],[Cost ]]*jewels[[#This Row],[Sales_Qty]]</f>
        <v>5842908.5714285718</v>
      </c>
      <c r="P2" s="11">
        <v>8180072</v>
      </c>
      <c r="Q2" s="11">
        <f>jewels[[#This Row],[Total Sales Value]]-jewels[[#This Row],[Cost Per Unit]]</f>
        <v>2337163.4285714282</v>
      </c>
      <c r="R2" s="13">
        <f>jewels[[#This Row],[Profit]]/jewels[[#This Row],[Cost Per Unit]]</f>
        <v>0.39999999999999991</v>
      </c>
    </row>
    <row r="3" spans="1:18" x14ac:dyDescent="0.25">
      <c r="A3" s="3">
        <v>2</v>
      </c>
      <c r="B3" s="4">
        <v>44966</v>
      </c>
      <c r="C3" s="3">
        <v>2023</v>
      </c>
      <c r="D3" s="3">
        <v>2</v>
      </c>
      <c r="E3" s="5" t="s">
        <v>19</v>
      </c>
      <c r="F3" s="3">
        <v>118</v>
      </c>
      <c r="G3" s="5" t="s">
        <v>20</v>
      </c>
      <c r="H3" s="5" t="s">
        <v>21</v>
      </c>
      <c r="I3" s="5" t="s">
        <v>22</v>
      </c>
      <c r="J3" s="5" t="s">
        <v>23</v>
      </c>
      <c r="K3" s="3">
        <v>84</v>
      </c>
      <c r="L3" s="11">
        <f>jewels[[#This Row],[Unit Price]]/(1+40%)</f>
        <v>863980.71428571432</v>
      </c>
      <c r="M3" s="11">
        <v>1209573</v>
      </c>
      <c r="N3" s="3">
        <v>2</v>
      </c>
      <c r="O3" s="11">
        <f>jewels[[#This Row],[Cost ]]*jewels[[#This Row],[Sales_Qty]]</f>
        <v>1727961.4285714286</v>
      </c>
      <c r="P3" s="11">
        <v>2419146</v>
      </c>
      <c r="Q3" s="11">
        <f>jewels[[#This Row],[Total Sales Value]]-jewels[[#This Row],[Cost Per Unit]]</f>
        <v>691184.57142857136</v>
      </c>
      <c r="R3" s="13">
        <f>jewels[[#This Row],[Profit]]/jewels[[#This Row],[Cost Per Unit]]</f>
        <v>0.39999999999999997</v>
      </c>
    </row>
    <row r="4" spans="1:18" x14ac:dyDescent="0.25">
      <c r="A4" s="3">
        <v>3</v>
      </c>
      <c r="B4" s="4">
        <v>43930</v>
      </c>
      <c r="C4" s="3">
        <v>2020</v>
      </c>
      <c r="D4" s="3">
        <v>4</v>
      </c>
      <c r="E4" s="5" t="s">
        <v>24</v>
      </c>
      <c r="F4" s="3">
        <v>199</v>
      </c>
      <c r="G4" s="5" t="s">
        <v>25</v>
      </c>
      <c r="H4" s="5" t="s">
        <v>26</v>
      </c>
      <c r="I4" s="5" t="s">
        <v>27</v>
      </c>
      <c r="J4" s="5" t="s">
        <v>28</v>
      </c>
      <c r="K4" s="3">
        <v>73</v>
      </c>
      <c r="L4" s="11">
        <f>jewels[[#This Row],[Unit Price]]/(1+40%)</f>
        <v>3396587.1428571432</v>
      </c>
      <c r="M4" s="11">
        <v>4755222</v>
      </c>
      <c r="N4" s="3">
        <v>1</v>
      </c>
      <c r="O4" s="11">
        <f>jewels[[#This Row],[Cost ]]*jewels[[#This Row],[Sales_Qty]]</f>
        <v>3396587.1428571432</v>
      </c>
      <c r="P4" s="11">
        <v>4755222</v>
      </c>
      <c r="Q4" s="11">
        <f>jewels[[#This Row],[Total Sales Value]]-jewels[[#This Row],[Cost Per Unit]]</f>
        <v>1358634.8571428568</v>
      </c>
      <c r="R4" s="13">
        <f>jewels[[#This Row],[Profit]]/jewels[[#This Row],[Cost Per Unit]]</f>
        <v>0.39999999999999986</v>
      </c>
    </row>
    <row r="5" spans="1:18" x14ac:dyDescent="0.25">
      <c r="A5" s="3">
        <v>4</v>
      </c>
      <c r="B5" s="4">
        <v>44006</v>
      </c>
      <c r="C5" s="3">
        <v>2020</v>
      </c>
      <c r="D5" s="3">
        <v>6</v>
      </c>
      <c r="E5" s="5" t="s">
        <v>14</v>
      </c>
      <c r="F5" s="3">
        <v>457</v>
      </c>
      <c r="G5" s="5" t="s">
        <v>15</v>
      </c>
      <c r="H5" s="5" t="s">
        <v>16</v>
      </c>
      <c r="I5" s="5" t="s">
        <v>29</v>
      </c>
      <c r="J5" s="5" t="s">
        <v>30</v>
      </c>
      <c r="K5" s="3">
        <v>61</v>
      </c>
      <c r="L5" s="11">
        <f>jewels[[#This Row],[Unit Price]]/(1+40%)</f>
        <v>6909337.8571428573</v>
      </c>
      <c r="M5" s="11">
        <v>9673073</v>
      </c>
      <c r="N5" s="3">
        <v>8</v>
      </c>
      <c r="O5" s="11">
        <f>jewels[[#This Row],[Cost ]]*jewels[[#This Row],[Sales_Qty]]</f>
        <v>55274702.857142858</v>
      </c>
      <c r="P5" s="11">
        <v>77384584</v>
      </c>
      <c r="Q5" s="11">
        <f>jewels[[#This Row],[Total Sales Value]]-jewels[[#This Row],[Cost Per Unit]]</f>
        <v>22109881.142857142</v>
      </c>
      <c r="R5" s="13">
        <f>jewels[[#This Row],[Profit]]/jewels[[#This Row],[Cost Per Unit]]</f>
        <v>0.39999999999999997</v>
      </c>
    </row>
    <row r="6" spans="1:18" x14ac:dyDescent="0.25">
      <c r="A6" s="3">
        <v>5</v>
      </c>
      <c r="B6" s="4">
        <v>44669</v>
      </c>
      <c r="C6" s="3">
        <v>2022</v>
      </c>
      <c r="D6" s="3">
        <v>4</v>
      </c>
      <c r="E6" s="5" t="s">
        <v>24</v>
      </c>
      <c r="F6" s="3">
        <v>368</v>
      </c>
      <c r="G6" s="5" t="s">
        <v>31</v>
      </c>
      <c r="H6" s="5" t="s">
        <v>26</v>
      </c>
      <c r="I6" s="5" t="s">
        <v>17</v>
      </c>
      <c r="J6" s="5" t="s">
        <v>18</v>
      </c>
      <c r="K6" s="3">
        <v>86</v>
      </c>
      <c r="L6" s="11">
        <f>jewels[[#This Row],[Unit Price]]/(1+40%)</f>
        <v>1992810.0000000002</v>
      </c>
      <c r="M6" s="11">
        <v>2789934</v>
      </c>
      <c r="N6" s="3">
        <v>7</v>
      </c>
      <c r="O6" s="11">
        <f>jewels[[#This Row],[Cost ]]*jewels[[#This Row],[Sales_Qty]]</f>
        <v>13949670.000000002</v>
      </c>
      <c r="P6" s="11">
        <v>19529538</v>
      </c>
      <c r="Q6" s="11">
        <f>jewels[[#This Row],[Total Sales Value]]-jewels[[#This Row],[Cost Per Unit]]</f>
        <v>5579867.9999999981</v>
      </c>
      <c r="R6" s="13">
        <f>jewels[[#This Row],[Profit]]/jewels[[#This Row],[Cost Per Unit]]</f>
        <v>0.3999999999999998</v>
      </c>
    </row>
    <row r="7" spans="1:18" x14ac:dyDescent="0.25">
      <c r="A7" s="3">
        <v>6</v>
      </c>
      <c r="B7" s="4">
        <v>44006</v>
      </c>
      <c r="C7" s="3">
        <v>2020</v>
      </c>
      <c r="D7" s="3">
        <v>6</v>
      </c>
      <c r="E7" s="5" t="s">
        <v>14</v>
      </c>
      <c r="F7" s="3">
        <v>58</v>
      </c>
      <c r="G7" s="5" t="s">
        <v>25</v>
      </c>
      <c r="H7" s="5" t="s">
        <v>26</v>
      </c>
      <c r="I7" s="5" t="s">
        <v>29</v>
      </c>
      <c r="J7" s="5" t="s">
        <v>32</v>
      </c>
      <c r="K7" s="3">
        <v>58</v>
      </c>
      <c r="L7" s="11">
        <f>jewels[[#This Row],[Unit Price]]/(1+40%)</f>
        <v>859883.57142857148</v>
      </c>
      <c r="M7" s="11">
        <v>1203837</v>
      </c>
      <c r="N7" s="3">
        <v>7</v>
      </c>
      <c r="O7" s="11">
        <f>jewels[[#This Row],[Cost ]]*jewels[[#This Row],[Sales_Qty]]</f>
        <v>6019185</v>
      </c>
      <c r="P7" s="11">
        <v>8426859</v>
      </c>
      <c r="Q7" s="11">
        <f>jewels[[#This Row],[Total Sales Value]]-jewels[[#This Row],[Cost Per Unit]]</f>
        <v>2407674</v>
      </c>
      <c r="R7" s="13">
        <f>jewels[[#This Row],[Profit]]/jewels[[#This Row],[Cost Per Unit]]</f>
        <v>0.4</v>
      </c>
    </row>
    <row r="8" spans="1:18" x14ac:dyDescent="0.25">
      <c r="A8" s="3">
        <v>7</v>
      </c>
      <c r="B8" s="4">
        <v>44819</v>
      </c>
      <c r="C8" s="3">
        <v>2022</v>
      </c>
      <c r="D8" s="3">
        <v>9</v>
      </c>
      <c r="E8" s="5" t="s">
        <v>33</v>
      </c>
      <c r="F8" s="3">
        <v>395</v>
      </c>
      <c r="G8" s="5" t="s">
        <v>34</v>
      </c>
      <c r="H8" s="5" t="s">
        <v>35</v>
      </c>
      <c r="I8" s="5" t="s">
        <v>22</v>
      </c>
      <c r="J8" s="5" t="s">
        <v>23</v>
      </c>
      <c r="K8" s="3">
        <v>71</v>
      </c>
      <c r="L8" s="11">
        <f>jewels[[#This Row],[Unit Price]]/(1+40%)</f>
        <v>4328745.7142857146</v>
      </c>
      <c r="M8" s="11">
        <v>6060244</v>
      </c>
      <c r="N8" s="3">
        <v>4</v>
      </c>
      <c r="O8" s="11">
        <f>jewels[[#This Row],[Cost ]]*jewels[[#This Row],[Sales_Qty]]</f>
        <v>17314982.857142858</v>
      </c>
      <c r="P8" s="11">
        <v>24240976</v>
      </c>
      <c r="Q8" s="11">
        <f>jewels[[#This Row],[Total Sales Value]]-jewels[[#This Row],[Cost Per Unit]]</f>
        <v>6925993.1428571418</v>
      </c>
      <c r="R8" s="13">
        <f>jewels[[#This Row],[Profit]]/jewels[[#This Row],[Cost Per Unit]]</f>
        <v>0.39999999999999991</v>
      </c>
    </row>
    <row r="9" spans="1:18" x14ac:dyDescent="0.25">
      <c r="A9" s="3">
        <v>8</v>
      </c>
      <c r="B9" s="4">
        <v>44079</v>
      </c>
      <c r="C9" s="3">
        <v>2020</v>
      </c>
      <c r="D9" s="3">
        <v>9</v>
      </c>
      <c r="E9" s="5" t="s">
        <v>33</v>
      </c>
      <c r="F9" s="3">
        <v>141</v>
      </c>
      <c r="G9" s="5" t="s">
        <v>36</v>
      </c>
      <c r="H9" s="5" t="s">
        <v>16</v>
      </c>
      <c r="I9" s="5" t="s">
        <v>17</v>
      </c>
      <c r="J9" s="5" t="s">
        <v>23</v>
      </c>
      <c r="K9" s="3">
        <v>96</v>
      </c>
      <c r="L9" s="11">
        <f>jewels[[#This Row],[Unit Price]]/(1+40%)</f>
        <v>698854.2857142858</v>
      </c>
      <c r="M9" s="11">
        <v>978396</v>
      </c>
      <c r="N9" s="3">
        <v>6</v>
      </c>
      <c r="O9" s="11">
        <f>jewels[[#This Row],[Cost ]]*jewels[[#This Row],[Sales_Qty]]</f>
        <v>4193125.7142857146</v>
      </c>
      <c r="P9" s="11">
        <v>5870376</v>
      </c>
      <c r="Q9" s="11">
        <f>jewels[[#This Row],[Total Sales Value]]-jewels[[#This Row],[Cost Per Unit]]</f>
        <v>1677250.2857142854</v>
      </c>
      <c r="R9" s="13">
        <f>jewels[[#This Row],[Profit]]/jewels[[#This Row],[Cost Per Unit]]</f>
        <v>0.39999999999999991</v>
      </c>
    </row>
    <row r="10" spans="1:18" x14ac:dyDescent="0.25">
      <c r="A10" s="3">
        <v>9</v>
      </c>
      <c r="B10" s="4">
        <v>44194</v>
      </c>
      <c r="C10" s="3">
        <v>2020</v>
      </c>
      <c r="D10" s="3">
        <v>12</v>
      </c>
      <c r="E10" s="5" t="s">
        <v>37</v>
      </c>
      <c r="F10" s="3">
        <v>240</v>
      </c>
      <c r="G10" s="5" t="s">
        <v>38</v>
      </c>
      <c r="H10" s="5" t="s">
        <v>35</v>
      </c>
      <c r="I10" s="5" t="s">
        <v>39</v>
      </c>
      <c r="J10" s="5" t="s">
        <v>18</v>
      </c>
      <c r="K10" s="3">
        <v>67</v>
      </c>
      <c r="L10" s="11">
        <f>jewels[[#This Row],[Unit Price]]/(1+40%)</f>
        <v>5903434.2857142864</v>
      </c>
      <c r="M10" s="11">
        <v>8264808</v>
      </c>
      <c r="N10" s="3">
        <v>2</v>
      </c>
      <c r="O10" s="11">
        <f>jewels[[#This Row],[Cost ]]*jewels[[#This Row],[Sales_Qty]]</f>
        <v>11806868.571428573</v>
      </c>
      <c r="P10" s="11">
        <v>16529616</v>
      </c>
      <c r="Q10" s="11">
        <f>jewels[[#This Row],[Total Sales Value]]-jewels[[#This Row],[Cost Per Unit]]</f>
        <v>4722747.4285714272</v>
      </c>
      <c r="R10" s="13">
        <f>jewels[[#This Row],[Profit]]/jewels[[#This Row],[Cost Per Unit]]</f>
        <v>0.39999999999999986</v>
      </c>
    </row>
    <row r="11" spans="1:18" x14ac:dyDescent="0.25">
      <c r="A11" s="3">
        <v>10</v>
      </c>
      <c r="B11" s="4">
        <v>44616</v>
      </c>
      <c r="C11" s="3">
        <v>2022</v>
      </c>
      <c r="D11" s="3">
        <v>2</v>
      </c>
      <c r="E11" s="5" t="s">
        <v>19</v>
      </c>
      <c r="F11" s="3">
        <v>235</v>
      </c>
      <c r="G11" s="5" t="s">
        <v>34</v>
      </c>
      <c r="H11" s="5" t="s">
        <v>35</v>
      </c>
      <c r="I11" s="5" t="s">
        <v>40</v>
      </c>
      <c r="J11" s="5" t="s">
        <v>28</v>
      </c>
      <c r="K11" s="3">
        <v>68</v>
      </c>
      <c r="L11" s="11">
        <f>jewels[[#This Row],[Unit Price]]/(1+40%)</f>
        <v>5176534.2857142864</v>
      </c>
      <c r="M11" s="11">
        <v>7247148</v>
      </c>
      <c r="N11" s="3">
        <v>1</v>
      </c>
      <c r="O11" s="11">
        <f>jewels[[#This Row],[Cost ]]*jewels[[#This Row],[Sales_Qty]]</f>
        <v>5176534.2857142864</v>
      </c>
      <c r="P11" s="11">
        <v>7247148</v>
      </c>
      <c r="Q11" s="11">
        <f>jewels[[#This Row],[Total Sales Value]]-jewels[[#This Row],[Cost Per Unit]]</f>
        <v>2070613.7142857136</v>
      </c>
      <c r="R11" s="13">
        <f>jewels[[#This Row],[Profit]]/jewels[[#This Row],[Cost Per Unit]]</f>
        <v>0.3999999999999998</v>
      </c>
    </row>
    <row r="12" spans="1:18" x14ac:dyDescent="0.25">
      <c r="A12" s="3">
        <v>11</v>
      </c>
      <c r="B12" s="4">
        <v>45316</v>
      </c>
      <c r="C12" s="3">
        <v>2024</v>
      </c>
      <c r="D12" s="3">
        <v>1</v>
      </c>
      <c r="E12" s="5" t="s">
        <v>41</v>
      </c>
      <c r="F12" s="3">
        <v>396</v>
      </c>
      <c r="G12" s="5" t="s">
        <v>42</v>
      </c>
      <c r="H12" s="5" t="s">
        <v>26</v>
      </c>
      <c r="I12" s="5" t="s">
        <v>17</v>
      </c>
      <c r="J12" s="5" t="s">
        <v>28</v>
      </c>
      <c r="K12" s="3">
        <v>80</v>
      </c>
      <c r="L12" s="11">
        <f>jewels[[#This Row],[Unit Price]]/(1+40%)</f>
        <v>2528960.7142857146</v>
      </c>
      <c r="M12" s="11">
        <v>3540545</v>
      </c>
      <c r="N12" s="3">
        <v>10</v>
      </c>
      <c r="O12" s="11">
        <f>jewels[[#This Row],[Cost ]]*jewels[[#This Row],[Sales_Qty]]</f>
        <v>25289607.142857146</v>
      </c>
      <c r="P12" s="11">
        <v>35405450</v>
      </c>
      <c r="Q12" s="11">
        <f>jewels[[#This Row],[Total Sales Value]]-jewels[[#This Row],[Cost Per Unit]]</f>
        <v>10115842.857142854</v>
      </c>
      <c r="R12" s="13">
        <f>jewels[[#This Row],[Profit]]/jewels[[#This Row],[Cost Per Unit]]</f>
        <v>0.39999999999999986</v>
      </c>
    </row>
    <row r="13" spans="1:18" x14ac:dyDescent="0.25">
      <c r="A13" s="3">
        <v>12</v>
      </c>
      <c r="B13" s="4">
        <v>44266</v>
      </c>
      <c r="C13" s="3">
        <v>2021</v>
      </c>
      <c r="D13" s="3">
        <v>3</v>
      </c>
      <c r="E13" s="5" t="s">
        <v>43</v>
      </c>
      <c r="F13" s="3">
        <v>375</v>
      </c>
      <c r="G13" s="5" t="s">
        <v>34</v>
      </c>
      <c r="H13" s="5" t="s">
        <v>35</v>
      </c>
      <c r="I13" s="5" t="s">
        <v>17</v>
      </c>
      <c r="J13" s="5" t="s">
        <v>44</v>
      </c>
      <c r="K13" s="3">
        <v>59</v>
      </c>
      <c r="L13" s="11">
        <f>jewels[[#This Row],[Unit Price]]/(1+40%)</f>
        <v>4057947.8571428573</v>
      </c>
      <c r="M13" s="11">
        <v>5681127</v>
      </c>
      <c r="N13" s="3">
        <v>7</v>
      </c>
      <c r="O13" s="11">
        <f>jewels[[#This Row],[Cost ]]*jewels[[#This Row],[Sales_Qty]]</f>
        <v>28405635</v>
      </c>
      <c r="P13" s="11">
        <v>39767889</v>
      </c>
      <c r="Q13" s="11">
        <f>jewels[[#This Row],[Total Sales Value]]-jewels[[#This Row],[Cost Per Unit]]</f>
        <v>11362254</v>
      </c>
      <c r="R13" s="13">
        <f>jewels[[#This Row],[Profit]]/jewels[[#This Row],[Cost Per Unit]]</f>
        <v>0.4</v>
      </c>
    </row>
    <row r="14" spans="1:18" x14ac:dyDescent="0.25">
      <c r="A14" s="3">
        <v>13</v>
      </c>
      <c r="B14" s="4">
        <v>44958</v>
      </c>
      <c r="C14" s="3">
        <v>2023</v>
      </c>
      <c r="D14" s="3">
        <v>2</v>
      </c>
      <c r="E14" s="5" t="s">
        <v>19</v>
      </c>
      <c r="F14" s="3">
        <v>325</v>
      </c>
      <c r="G14" s="5" t="s">
        <v>38</v>
      </c>
      <c r="H14" s="5" t="s">
        <v>35</v>
      </c>
      <c r="I14" s="5" t="s">
        <v>39</v>
      </c>
      <c r="J14" s="5" t="s">
        <v>45</v>
      </c>
      <c r="K14" s="3">
        <v>75</v>
      </c>
      <c r="L14" s="11">
        <f>jewels[[#This Row],[Unit Price]]/(1+40%)</f>
        <v>6519685</v>
      </c>
      <c r="M14" s="11">
        <v>9127559</v>
      </c>
      <c r="N14" s="3">
        <v>1</v>
      </c>
      <c r="O14" s="11">
        <f>jewels[[#This Row],[Cost ]]*jewels[[#This Row],[Sales_Qty]]</f>
        <v>6519685</v>
      </c>
      <c r="P14" s="11">
        <v>9127559</v>
      </c>
      <c r="Q14" s="11">
        <f>jewels[[#This Row],[Total Sales Value]]-jewels[[#This Row],[Cost Per Unit]]</f>
        <v>2607874</v>
      </c>
      <c r="R14" s="13">
        <f>jewels[[#This Row],[Profit]]/jewels[[#This Row],[Cost Per Unit]]</f>
        <v>0.4</v>
      </c>
    </row>
    <row r="15" spans="1:18" x14ac:dyDescent="0.25">
      <c r="A15" s="3">
        <v>14</v>
      </c>
      <c r="B15" s="4">
        <v>44922</v>
      </c>
      <c r="C15" s="3">
        <v>2022</v>
      </c>
      <c r="D15" s="3">
        <v>12</v>
      </c>
      <c r="E15" s="5" t="s">
        <v>37</v>
      </c>
      <c r="F15" s="3">
        <v>300</v>
      </c>
      <c r="G15" s="5" t="s">
        <v>36</v>
      </c>
      <c r="H15" s="5" t="s">
        <v>16</v>
      </c>
      <c r="I15" s="5" t="s">
        <v>29</v>
      </c>
      <c r="J15" s="5" t="s">
        <v>18</v>
      </c>
      <c r="K15" s="3">
        <v>87</v>
      </c>
      <c r="L15" s="11">
        <f>jewels[[#This Row],[Unit Price]]/(1+40%)</f>
        <v>2920025</v>
      </c>
      <c r="M15" s="11">
        <v>4088035</v>
      </c>
      <c r="N15" s="3">
        <v>6</v>
      </c>
      <c r="O15" s="11">
        <f>jewels[[#This Row],[Cost ]]*jewels[[#This Row],[Sales_Qty]]</f>
        <v>17520150</v>
      </c>
      <c r="P15" s="11">
        <v>24528210</v>
      </c>
      <c r="Q15" s="11">
        <f>jewels[[#This Row],[Total Sales Value]]-jewels[[#This Row],[Cost Per Unit]]</f>
        <v>7008060</v>
      </c>
      <c r="R15" s="13">
        <f>jewels[[#This Row],[Profit]]/jewels[[#This Row],[Cost Per Unit]]</f>
        <v>0.4</v>
      </c>
    </row>
    <row r="16" spans="1:18" x14ac:dyDescent="0.25">
      <c r="A16" s="3">
        <v>15</v>
      </c>
      <c r="B16" s="4">
        <v>44568</v>
      </c>
      <c r="C16" s="3">
        <v>2022</v>
      </c>
      <c r="D16" s="3">
        <v>1</v>
      </c>
      <c r="E16" s="5" t="s">
        <v>41</v>
      </c>
      <c r="F16" s="3">
        <v>394</v>
      </c>
      <c r="G16" s="5" t="s">
        <v>46</v>
      </c>
      <c r="H16" s="5" t="s">
        <v>35</v>
      </c>
      <c r="I16" s="5" t="s">
        <v>22</v>
      </c>
      <c r="J16" s="5" t="s">
        <v>47</v>
      </c>
      <c r="K16" s="3">
        <v>69</v>
      </c>
      <c r="L16" s="11">
        <f>jewels[[#This Row],[Unit Price]]/(1+40%)</f>
        <v>2202652.1428571432</v>
      </c>
      <c r="M16" s="11">
        <v>3083713</v>
      </c>
      <c r="N16" s="3">
        <v>1</v>
      </c>
      <c r="O16" s="11">
        <f>jewels[[#This Row],[Cost ]]*jewels[[#This Row],[Sales_Qty]]</f>
        <v>2202652.1428571432</v>
      </c>
      <c r="P16" s="11">
        <v>3083713</v>
      </c>
      <c r="Q16" s="11">
        <f>jewels[[#This Row],[Total Sales Value]]-jewels[[#This Row],[Cost Per Unit]]</f>
        <v>881060.85714285681</v>
      </c>
      <c r="R16" s="13">
        <f>jewels[[#This Row],[Profit]]/jewels[[#This Row],[Cost Per Unit]]</f>
        <v>0.3999999999999998</v>
      </c>
    </row>
    <row r="17" spans="1:18" x14ac:dyDescent="0.25">
      <c r="A17" s="3">
        <v>16</v>
      </c>
      <c r="B17" s="4">
        <v>43933</v>
      </c>
      <c r="C17" s="3">
        <v>2020</v>
      </c>
      <c r="D17" s="3">
        <v>4</v>
      </c>
      <c r="E17" s="5" t="s">
        <v>24</v>
      </c>
      <c r="F17" s="3">
        <v>431</v>
      </c>
      <c r="G17" s="5" t="s">
        <v>48</v>
      </c>
      <c r="H17" s="5" t="s">
        <v>16</v>
      </c>
      <c r="I17" s="5" t="s">
        <v>39</v>
      </c>
      <c r="J17" s="5" t="s">
        <v>18</v>
      </c>
      <c r="K17" s="3">
        <v>84</v>
      </c>
      <c r="L17" s="11">
        <f>jewels[[#This Row],[Unit Price]]/(1+40%)</f>
        <v>5870069.2857142864</v>
      </c>
      <c r="M17" s="11">
        <v>8218097</v>
      </c>
      <c r="N17" s="3">
        <v>7</v>
      </c>
      <c r="O17" s="11">
        <f>jewels[[#This Row],[Cost ]]*jewels[[#This Row],[Sales_Qty]]</f>
        <v>41090485.000000007</v>
      </c>
      <c r="P17" s="11">
        <v>57526679</v>
      </c>
      <c r="Q17" s="11">
        <f>jewels[[#This Row],[Total Sales Value]]-jewels[[#This Row],[Cost Per Unit]]</f>
        <v>16436193.999999993</v>
      </c>
      <c r="R17" s="13">
        <f>jewels[[#This Row],[Profit]]/jewels[[#This Row],[Cost Per Unit]]</f>
        <v>0.39999999999999974</v>
      </c>
    </row>
    <row r="18" spans="1:18" x14ac:dyDescent="0.25">
      <c r="A18" s="3">
        <v>17</v>
      </c>
      <c r="B18" s="4">
        <v>44238</v>
      </c>
      <c r="C18" s="3">
        <v>2021</v>
      </c>
      <c r="D18" s="3">
        <v>2</v>
      </c>
      <c r="E18" s="5" t="s">
        <v>19</v>
      </c>
      <c r="F18" s="3">
        <v>50</v>
      </c>
      <c r="G18" s="5" t="s">
        <v>46</v>
      </c>
      <c r="H18" s="5" t="s">
        <v>35</v>
      </c>
      <c r="I18" s="5" t="s">
        <v>22</v>
      </c>
      <c r="J18" s="5" t="s">
        <v>45</v>
      </c>
      <c r="K18" s="3">
        <v>74</v>
      </c>
      <c r="L18" s="11">
        <f>jewels[[#This Row],[Unit Price]]/(1+40%)</f>
        <v>1577182.142857143</v>
      </c>
      <c r="M18" s="11">
        <v>2208055</v>
      </c>
      <c r="N18" s="3">
        <v>2</v>
      </c>
      <c r="O18" s="11">
        <f>jewels[[#This Row],[Cost ]]*jewels[[#This Row],[Sales_Qty]]</f>
        <v>3154364.2857142859</v>
      </c>
      <c r="P18" s="11">
        <v>4416110</v>
      </c>
      <c r="Q18" s="11">
        <f>jewels[[#This Row],[Total Sales Value]]-jewels[[#This Row],[Cost Per Unit]]</f>
        <v>1261745.7142857141</v>
      </c>
      <c r="R18" s="13">
        <f>jewels[[#This Row],[Profit]]/jewels[[#This Row],[Cost Per Unit]]</f>
        <v>0.39999999999999991</v>
      </c>
    </row>
    <row r="19" spans="1:18" x14ac:dyDescent="0.25">
      <c r="A19" s="3">
        <v>18</v>
      </c>
      <c r="B19" s="4">
        <v>44031</v>
      </c>
      <c r="C19" s="3">
        <v>2020</v>
      </c>
      <c r="D19" s="3">
        <v>7</v>
      </c>
      <c r="E19" s="5" t="s">
        <v>49</v>
      </c>
      <c r="F19" s="3">
        <v>302</v>
      </c>
      <c r="G19" s="5" t="s">
        <v>48</v>
      </c>
      <c r="H19" s="5" t="s">
        <v>16</v>
      </c>
      <c r="I19" s="5" t="s">
        <v>17</v>
      </c>
      <c r="J19" s="5" t="s">
        <v>23</v>
      </c>
      <c r="K19" s="3">
        <v>85</v>
      </c>
      <c r="L19" s="11">
        <f>jewels[[#This Row],[Unit Price]]/(1+40%)</f>
        <v>3980658.5714285718</v>
      </c>
      <c r="M19" s="11">
        <v>5572922</v>
      </c>
      <c r="N19" s="3">
        <v>1</v>
      </c>
      <c r="O19" s="11">
        <f>jewels[[#This Row],[Cost ]]*jewels[[#This Row],[Sales_Qty]]</f>
        <v>3980658.5714285718</v>
      </c>
      <c r="P19" s="11">
        <v>5572922</v>
      </c>
      <c r="Q19" s="11">
        <f>jewels[[#This Row],[Total Sales Value]]-jewels[[#This Row],[Cost Per Unit]]</f>
        <v>1592263.4285714282</v>
      </c>
      <c r="R19" s="13">
        <f>jewels[[#This Row],[Profit]]/jewels[[#This Row],[Cost Per Unit]]</f>
        <v>0.39999999999999986</v>
      </c>
    </row>
    <row r="20" spans="1:18" x14ac:dyDescent="0.25">
      <c r="A20" s="3">
        <v>19</v>
      </c>
      <c r="B20" s="4">
        <v>44762</v>
      </c>
      <c r="C20" s="3">
        <v>2022</v>
      </c>
      <c r="D20" s="3">
        <v>7</v>
      </c>
      <c r="E20" s="5" t="s">
        <v>49</v>
      </c>
      <c r="F20" s="3">
        <v>496</v>
      </c>
      <c r="G20" s="5" t="s">
        <v>31</v>
      </c>
      <c r="H20" s="5" t="s">
        <v>26</v>
      </c>
      <c r="I20" s="5" t="s">
        <v>27</v>
      </c>
      <c r="J20" s="5" t="s">
        <v>50</v>
      </c>
      <c r="K20" s="3">
        <v>87</v>
      </c>
      <c r="L20" s="11">
        <f>jewels[[#This Row],[Unit Price]]/(1+40%)</f>
        <v>4522853.5714285718</v>
      </c>
      <c r="M20" s="11">
        <v>6331995</v>
      </c>
      <c r="N20" s="3">
        <v>4</v>
      </c>
      <c r="O20" s="11">
        <f>jewels[[#This Row],[Cost ]]*jewels[[#This Row],[Sales_Qty]]</f>
        <v>18091414.285714287</v>
      </c>
      <c r="P20" s="11">
        <v>25327980</v>
      </c>
      <c r="Q20" s="11">
        <f>jewels[[#This Row],[Total Sales Value]]-jewels[[#This Row],[Cost Per Unit]]</f>
        <v>7236565.7142857127</v>
      </c>
      <c r="R20" s="13">
        <f>jewels[[#This Row],[Profit]]/jewels[[#This Row],[Cost Per Unit]]</f>
        <v>0.39999999999999986</v>
      </c>
    </row>
    <row r="21" spans="1:18" x14ac:dyDescent="0.25">
      <c r="A21" s="3">
        <v>20</v>
      </c>
      <c r="B21" s="4">
        <v>44411</v>
      </c>
      <c r="C21" s="3">
        <v>2021</v>
      </c>
      <c r="D21" s="3">
        <v>8</v>
      </c>
      <c r="E21" s="5" t="s">
        <v>51</v>
      </c>
      <c r="F21" s="3">
        <v>150</v>
      </c>
      <c r="G21" s="5" t="s">
        <v>52</v>
      </c>
      <c r="H21" s="5" t="s">
        <v>21</v>
      </c>
      <c r="I21" s="5" t="s">
        <v>40</v>
      </c>
      <c r="J21" s="5" t="s">
        <v>28</v>
      </c>
      <c r="K21" s="3">
        <v>95</v>
      </c>
      <c r="L21" s="11">
        <f>jewels[[#This Row],[Unit Price]]/(1+40%)</f>
        <v>3127730</v>
      </c>
      <c r="M21" s="11">
        <v>4378822</v>
      </c>
      <c r="N21" s="3">
        <v>1</v>
      </c>
      <c r="O21" s="11">
        <f>jewels[[#This Row],[Cost ]]*jewels[[#This Row],[Sales_Qty]]</f>
        <v>3127730</v>
      </c>
      <c r="P21" s="11">
        <v>4378822</v>
      </c>
      <c r="Q21" s="11">
        <f>jewels[[#This Row],[Total Sales Value]]-jewels[[#This Row],[Cost Per Unit]]</f>
        <v>1251092</v>
      </c>
      <c r="R21" s="13">
        <f>jewels[[#This Row],[Profit]]/jewels[[#This Row],[Cost Per Unit]]</f>
        <v>0.4</v>
      </c>
    </row>
    <row r="22" spans="1:18" x14ac:dyDescent="0.25">
      <c r="A22" s="3">
        <v>21</v>
      </c>
      <c r="B22" s="4">
        <v>45304</v>
      </c>
      <c r="C22" s="3">
        <v>2024</v>
      </c>
      <c r="D22" s="3">
        <v>1</v>
      </c>
      <c r="E22" s="5" t="s">
        <v>41</v>
      </c>
      <c r="F22" s="3">
        <v>5</v>
      </c>
      <c r="G22" s="5" t="s">
        <v>31</v>
      </c>
      <c r="H22" s="5" t="s">
        <v>26</v>
      </c>
      <c r="I22" s="5" t="s">
        <v>17</v>
      </c>
      <c r="J22" s="5" t="s">
        <v>18</v>
      </c>
      <c r="K22" s="3">
        <v>88</v>
      </c>
      <c r="L22" s="11">
        <f>jewels[[#This Row],[Unit Price]]/(1+40%)</f>
        <v>3798316.4285714286</v>
      </c>
      <c r="M22" s="11">
        <v>5317643</v>
      </c>
      <c r="N22" s="3">
        <v>7</v>
      </c>
      <c r="O22" s="11">
        <f>jewels[[#This Row],[Cost ]]*jewels[[#This Row],[Sales_Qty]]</f>
        <v>26588215</v>
      </c>
      <c r="P22" s="11">
        <v>37223501</v>
      </c>
      <c r="Q22" s="11">
        <f>jewels[[#This Row],[Total Sales Value]]-jewels[[#This Row],[Cost Per Unit]]</f>
        <v>10635286</v>
      </c>
      <c r="R22" s="13">
        <f>jewels[[#This Row],[Profit]]/jewels[[#This Row],[Cost Per Unit]]</f>
        <v>0.4</v>
      </c>
    </row>
    <row r="23" spans="1:18" x14ac:dyDescent="0.25">
      <c r="A23" s="3">
        <v>22</v>
      </c>
      <c r="B23" s="4">
        <v>44697</v>
      </c>
      <c r="C23" s="3">
        <v>2022</v>
      </c>
      <c r="D23" s="3">
        <v>5</v>
      </c>
      <c r="E23" s="5" t="s">
        <v>53</v>
      </c>
      <c r="F23" s="3">
        <v>385</v>
      </c>
      <c r="G23" s="5" t="s">
        <v>38</v>
      </c>
      <c r="H23" s="5" t="s">
        <v>35</v>
      </c>
      <c r="I23" s="5" t="s">
        <v>27</v>
      </c>
      <c r="J23" s="5" t="s">
        <v>45</v>
      </c>
      <c r="K23" s="3">
        <v>76</v>
      </c>
      <c r="L23" s="11">
        <f>jewels[[#This Row],[Unit Price]]/(1+40%)</f>
        <v>6304286.4285714291</v>
      </c>
      <c r="M23" s="11">
        <v>8826001</v>
      </c>
      <c r="N23" s="3">
        <v>4</v>
      </c>
      <c r="O23" s="11">
        <f>jewels[[#This Row],[Cost ]]*jewels[[#This Row],[Sales_Qty]]</f>
        <v>25217145.714285716</v>
      </c>
      <c r="P23" s="11">
        <v>35304004</v>
      </c>
      <c r="Q23" s="11">
        <f>jewels[[#This Row],[Total Sales Value]]-jewels[[#This Row],[Cost Per Unit]]</f>
        <v>10086858.285714284</v>
      </c>
      <c r="R23" s="13">
        <f>jewels[[#This Row],[Profit]]/jewels[[#This Row],[Cost Per Unit]]</f>
        <v>0.39999999999999986</v>
      </c>
    </row>
    <row r="24" spans="1:18" x14ac:dyDescent="0.25">
      <c r="A24" s="3">
        <v>23</v>
      </c>
      <c r="B24" s="4">
        <v>44447</v>
      </c>
      <c r="C24" s="3">
        <v>2021</v>
      </c>
      <c r="D24" s="3">
        <v>9</v>
      </c>
      <c r="E24" s="5" t="s">
        <v>33</v>
      </c>
      <c r="F24" s="3">
        <v>335</v>
      </c>
      <c r="G24" s="5" t="s">
        <v>25</v>
      </c>
      <c r="H24" s="5" t="s">
        <v>26</v>
      </c>
      <c r="I24" s="5" t="s">
        <v>22</v>
      </c>
      <c r="J24" s="5" t="s">
        <v>23</v>
      </c>
      <c r="K24" s="3">
        <v>84</v>
      </c>
      <c r="L24" s="11">
        <f>jewels[[#This Row],[Unit Price]]/(1+40%)</f>
        <v>3729477.8571428573</v>
      </c>
      <c r="M24" s="11">
        <v>5221269</v>
      </c>
      <c r="N24" s="3">
        <v>5</v>
      </c>
      <c r="O24" s="11">
        <f>jewels[[#This Row],[Cost ]]*jewels[[#This Row],[Sales_Qty]]</f>
        <v>18647389.285714287</v>
      </c>
      <c r="P24" s="11">
        <v>26106345</v>
      </c>
      <c r="Q24" s="11">
        <f>jewels[[#This Row],[Total Sales Value]]-jewels[[#This Row],[Cost Per Unit]]</f>
        <v>7458955.7142857127</v>
      </c>
      <c r="R24" s="13">
        <f>jewels[[#This Row],[Profit]]/jewels[[#This Row],[Cost Per Unit]]</f>
        <v>0.39999999999999986</v>
      </c>
    </row>
    <row r="25" spans="1:18" x14ac:dyDescent="0.25">
      <c r="A25" s="3">
        <v>24</v>
      </c>
      <c r="B25" s="4">
        <v>44803</v>
      </c>
      <c r="C25" s="3">
        <v>2022</v>
      </c>
      <c r="D25" s="3">
        <v>8</v>
      </c>
      <c r="E25" s="5" t="s">
        <v>51</v>
      </c>
      <c r="F25" s="3">
        <v>30</v>
      </c>
      <c r="G25" s="5" t="s">
        <v>54</v>
      </c>
      <c r="H25" s="5" t="s">
        <v>21</v>
      </c>
      <c r="I25" s="5" t="s">
        <v>40</v>
      </c>
      <c r="J25" s="5" t="s">
        <v>50</v>
      </c>
      <c r="K25" s="3">
        <v>63</v>
      </c>
      <c r="L25" s="11">
        <f>jewels[[#This Row],[Unit Price]]/(1+40%)</f>
        <v>3314977.8571428573</v>
      </c>
      <c r="M25" s="11">
        <v>4640969</v>
      </c>
      <c r="N25" s="3">
        <v>9</v>
      </c>
      <c r="O25" s="11">
        <f>jewels[[#This Row],[Cost ]]*jewels[[#This Row],[Sales_Qty]]</f>
        <v>29834800.714285716</v>
      </c>
      <c r="P25" s="11">
        <v>41768721</v>
      </c>
      <c r="Q25" s="11">
        <f>jewels[[#This Row],[Total Sales Value]]-jewels[[#This Row],[Cost Per Unit]]</f>
        <v>11933920.285714284</v>
      </c>
      <c r="R25" s="13">
        <f>jewels[[#This Row],[Profit]]/jewels[[#This Row],[Cost Per Unit]]</f>
        <v>0.39999999999999991</v>
      </c>
    </row>
    <row r="26" spans="1:18" x14ac:dyDescent="0.25">
      <c r="A26" s="3">
        <v>25</v>
      </c>
      <c r="B26" s="4">
        <v>44720</v>
      </c>
      <c r="C26" s="3">
        <v>2022</v>
      </c>
      <c r="D26" s="3">
        <v>6</v>
      </c>
      <c r="E26" s="5" t="s">
        <v>14</v>
      </c>
      <c r="F26" s="3">
        <v>241</v>
      </c>
      <c r="G26" s="5" t="s">
        <v>48</v>
      </c>
      <c r="H26" s="5" t="s">
        <v>16</v>
      </c>
      <c r="I26" s="5" t="s">
        <v>29</v>
      </c>
      <c r="J26" s="5" t="s">
        <v>45</v>
      </c>
      <c r="K26" s="3">
        <v>90</v>
      </c>
      <c r="L26" s="11">
        <f>jewels[[#This Row],[Unit Price]]/(1+40%)</f>
        <v>407301.42857142858</v>
      </c>
      <c r="M26" s="11">
        <v>570222</v>
      </c>
      <c r="N26" s="3">
        <v>6</v>
      </c>
      <c r="O26" s="11">
        <f>jewels[[#This Row],[Cost ]]*jewels[[#This Row],[Sales_Qty]]</f>
        <v>2443808.5714285714</v>
      </c>
      <c r="P26" s="11">
        <v>3421332</v>
      </c>
      <c r="Q26" s="11">
        <f>jewels[[#This Row],[Total Sales Value]]-jewels[[#This Row],[Cost Per Unit]]</f>
        <v>977523.42857142864</v>
      </c>
      <c r="R26" s="13">
        <f>jewels[[#This Row],[Profit]]/jewels[[#This Row],[Cost Per Unit]]</f>
        <v>0.4</v>
      </c>
    </row>
    <row r="27" spans="1:18" x14ac:dyDescent="0.25">
      <c r="A27" s="3">
        <v>26</v>
      </c>
      <c r="B27" s="4">
        <v>44999</v>
      </c>
      <c r="C27" s="3">
        <v>2023</v>
      </c>
      <c r="D27" s="3">
        <v>3</v>
      </c>
      <c r="E27" s="5" t="s">
        <v>43</v>
      </c>
      <c r="F27" s="3">
        <v>138</v>
      </c>
      <c r="G27" s="5" t="s">
        <v>54</v>
      </c>
      <c r="H27" s="5" t="s">
        <v>21</v>
      </c>
      <c r="I27" s="5" t="s">
        <v>39</v>
      </c>
      <c r="J27" s="5" t="s">
        <v>45</v>
      </c>
      <c r="K27" s="3">
        <v>78</v>
      </c>
      <c r="L27" s="11">
        <f>jewels[[#This Row],[Unit Price]]/(1+40%)</f>
        <v>6545597.8571428573</v>
      </c>
      <c r="M27" s="11">
        <v>9163837</v>
      </c>
      <c r="N27" s="3">
        <v>4</v>
      </c>
      <c r="O27" s="11">
        <f>jewels[[#This Row],[Cost ]]*jewels[[#This Row],[Sales_Qty]]</f>
        <v>26182391.428571429</v>
      </c>
      <c r="P27" s="11">
        <v>36655348</v>
      </c>
      <c r="Q27" s="11">
        <f>jewels[[#This Row],[Total Sales Value]]-jewels[[#This Row],[Cost Per Unit]]</f>
        <v>10472956.571428571</v>
      </c>
      <c r="R27" s="13">
        <f>jewels[[#This Row],[Profit]]/jewels[[#This Row],[Cost Per Unit]]</f>
        <v>0.39999999999999997</v>
      </c>
    </row>
    <row r="28" spans="1:18" x14ac:dyDescent="0.25">
      <c r="A28" s="3">
        <v>27</v>
      </c>
      <c r="B28" s="4">
        <v>44376</v>
      </c>
      <c r="C28" s="3">
        <v>2021</v>
      </c>
      <c r="D28" s="3">
        <v>6</v>
      </c>
      <c r="E28" s="5" t="s">
        <v>14</v>
      </c>
      <c r="F28" s="3">
        <v>27</v>
      </c>
      <c r="G28" s="5" t="s">
        <v>36</v>
      </c>
      <c r="H28" s="5" t="s">
        <v>16</v>
      </c>
      <c r="I28" s="5" t="s">
        <v>22</v>
      </c>
      <c r="J28" s="5" t="s">
        <v>28</v>
      </c>
      <c r="K28" s="3">
        <v>90</v>
      </c>
      <c r="L28" s="11">
        <f>jewels[[#This Row],[Unit Price]]/(1+40%)</f>
        <v>2931022.1428571432</v>
      </c>
      <c r="M28" s="11">
        <v>4103431</v>
      </c>
      <c r="N28" s="3">
        <v>1</v>
      </c>
      <c r="O28" s="11">
        <f>jewels[[#This Row],[Cost ]]*jewels[[#This Row],[Sales_Qty]]</f>
        <v>2931022.1428571432</v>
      </c>
      <c r="P28" s="11">
        <v>4103431</v>
      </c>
      <c r="Q28" s="11">
        <f>jewels[[#This Row],[Total Sales Value]]-jewels[[#This Row],[Cost Per Unit]]</f>
        <v>1172408.8571428568</v>
      </c>
      <c r="R28" s="13">
        <f>jewels[[#This Row],[Profit]]/jewels[[#This Row],[Cost Per Unit]]</f>
        <v>0.39999999999999986</v>
      </c>
    </row>
    <row r="29" spans="1:18" x14ac:dyDescent="0.25">
      <c r="A29" s="3">
        <v>28</v>
      </c>
      <c r="B29" s="4">
        <v>45064</v>
      </c>
      <c r="C29" s="3">
        <v>2023</v>
      </c>
      <c r="D29" s="3">
        <v>5</v>
      </c>
      <c r="E29" s="5" t="s">
        <v>53</v>
      </c>
      <c r="F29" s="3">
        <v>381</v>
      </c>
      <c r="G29" s="5" t="s">
        <v>42</v>
      </c>
      <c r="H29" s="5" t="s">
        <v>26</v>
      </c>
      <c r="I29" s="5" t="s">
        <v>17</v>
      </c>
      <c r="J29" s="5" t="s">
        <v>23</v>
      </c>
      <c r="K29" s="3">
        <v>54</v>
      </c>
      <c r="L29" s="11">
        <f>jewels[[#This Row],[Unit Price]]/(1+40%)</f>
        <v>1956082.8571428573</v>
      </c>
      <c r="M29" s="11">
        <v>2738516</v>
      </c>
      <c r="N29" s="3">
        <v>3</v>
      </c>
      <c r="O29" s="11">
        <f>jewels[[#This Row],[Cost ]]*jewels[[#This Row],[Sales_Qty]]</f>
        <v>5868248.5714285718</v>
      </c>
      <c r="P29" s="11">
        <v>8215548</v>
      </c>
      <c r="Q29" s="11">
        <f>jewels[[#This Row],[Total Sales Value]]-jewels[[#This Row],[Cost Per Unit]]</f>
        <v>2347299.4285714282</v>
      </c>
      <c r="R29" s="13">
        <f>jewels[[#This Row],[Profit]]/jewels[[#This Row],[Cost Per Unit]]</f>
        <v>0.39999999999999991</v>
      </c>
    </row>
    <row r="30" spans="1:18" x14ac:dyDescent="0.25">
      <c r="A30" s="3">
        <v>29</v>
      </c>
      <c r="B30" s="4">
        <v>44020</v>
      </c>
      <c r="C30" s="3">
        <v>2020</v>
      </c>
      <c r="D30" s="3">
        <v>7</v>
      </c>
      <c r="E30" s="5" t="s">
        <v>49</v>
      </c>
      <c r="F30" s="3">
        <v>423</v>
      </c>
      <c r="G30" s="5" t="s">
        <v>31</v>
      </c>
      <c r="H30" s="5" t="s">
        <v>26</v>
      </c>
      <c r="I30" s="5" t="s">
        <v>39</v>
      </c>
      <c r="J30" s="5" t="s">
        <v>44</v>
      </c>
      <c r="K30" s="3">
        <v>91</v>
      </c>
      <c r="L30" s="11">
        <f>jewels[[#This Row],[Unit Price]]/(1+40%)</f>
        <v>310932.1428571429</v>
      </c>
      <c r="M30" s="11">
        <v>435305</v>
      </c>
      <c r="N30" s="3">
        <v>8</v>
      </c>
      <c r="O30" s="11">
        <f>jewels[[#This Row],[Cost ]]*jewels[[#This Row],[Sales_Qty]]</f>
        <v>2487457.1428571432</v>
      </c>
      <c r="P30" s="11">
        <v>3482440</v>
      </c>
      <c r="Q30" s="11">
        <f>jewels[[#This Row],[Total Sales Value]]-jewels[[#This Row],[Cost Per Unit]]</f>
        <v>994982.85714285681</v>
      </c>
      <c r="R30" s="13">
        <f>jewels[[#This Row],[Profit]]/jewels[[#This Row],[Cost Per Unit]]</f>
        <v>0.3999999999999998</v>
      </c>
    </row>
    <row r="31" spans="1:18" x14ac:dyDescent="0.25">
      <c r="A31" s="3">
        <v>30</v>
      </c>
      <c r="B31" s="4">
        <v>45083</v>
      </c>
      <c r="C31" s="3">
        <v>2023</v>
      </c>
      <c r="D31" s="3">
        <v>6</v>
      </c>
      <c r="E31" s="5" t="s">
        <v>14</v>
      </c>
      <c r="F31" s="3">
        <v>38</v>
      </c>
      <c r="G31" s="5" t="s">
        <v>42</v>
      </c>
      <c r="H31" s="5" t="s">
        <v>26</v>
      </c>
      <c r="I31" s="5" t="s">
        <v>27</v>
      </c>
      <c r="J31" s="5" t="s">
        <v>18</v>
      </c>
      <c r="K31" s="3">
        <v>72</v>
      </c>
      <c r="L31" s="11">
        <f>jewels[[#This Row],[Unit Price]]/(1+40%)</f>
        <v>5527945</v>
      </c>
      <c r="M31" s="11">
        <v>7739123</v>
      </c>
      <c r="N31" s="3">
        <v>7</v>
      </c>
      <c r="O31" s="11">
        <f>jewels[[#This Row],[Cost ]]*jewels[[#This Row],[Sales_Qty]]</f>
        <v>38695615</v>
      </c>
      <c r="P31" s="11">
        <v>54173861</v>
      </c>
      <c r="Q31" s="11">
        <f>jewels[[#This Row],[Total Sales Value]]-jewels[[#This Row],[Cost Per Unit]]</f>
        <v>15478246</v>
      </c>
      <c r="R31" s="13">
        <f>jewels[[#This Row],[Profit]]/jewels[[#This Row],[Cost Per Unit]]</f>
        <v>0.4</v>
      </c>
    </row>
    <row r="32" spans="1:18" x14ac:dyDescent="0.25">
      <c r="A32" s="3">
        <v>31</v>
      </c>
      <c r="B32" s="4">
        <v>43932</v>
      </c>
      <c r="C32" s="3">
        <v>2020</v>
      </c>
      <c r="D32" s="3">
        <v>4</v>
      </c>
      <c r="E32" s="5" t="s">
        <v>24</v>
      </c>
      <c r="F32" s="3">
        <v>411</v>
      </c>
      <c r="G32" s="5" t="s">
        <v>20</v>
      </c>
      <c r="H32" s="5" t="s">
        <v>21</v>
      </c>
      <c r="I32" s="5" t="s">
        <v>39</v>
      </c>
      <c r="J32" s="5" t="s">
        <v>45</v>
      </c>
      <c r="K32" s="3">
        <v>61</v>
      </c>
      <c r="L32" s="11">
        <f>jewels[[#This Row],[Unit Price]]/(1+40%)</f>
        <v>6236086.4285714291</v>
      </c>
      <c r="M32" s="11">
        <v>8730521</v>
      </c>
      <c r="N32" s="3">
        <v>3</v>
      </c>
      <c r="O32" s="11">
        <f>jewels[[#This Row],[Cost ]]*jewels[[#This Row],[Sales_Qty]]</f>
        <v>18708259.285714287</v>
      </c>
      <c r="P32" s="11">
        <v>26191563</v>
      </c>
      <c r="Q32" s="11">
        <f>jewels[[#This Row],[Total Sales Value]]-jewels[[#This Row],[Cost Per Unit]]</f>
        <v>7483303.7142857127</v>
      </c>
      <c r="R32" s="13">
        <f>jewels[[#This Row],[Profit]]/jewels[[#This Row],[Cost Per Unit]]</f>
        <v>0.39999999999999986</v>
      </c>
    </row>
    <row r="33" spans="1:18" x14ac:dyDescent="0.25">
      <c r="A33" s="3">
        <v>32</v>
      </c>
      <c r="B33" s="4">
        <v>44635</v>
      </c>
      <c r="C33" s="3">
        <v>2022</v>
      </c>
      <c r="D33" s="3">
        <v>3</v>
      </c>
      <c r="E33" s="5" t="s">
        <v>43</v>
      </c>
      <c r="F33" s="3">
        <v>131</v>
      </c>
      <c r="G33" s="5" t="s">
        <v>55</v>
      </c>
      <c r="H33" s="5" t="s">
        <v>56</v>
      </c>
      <c r="I33" s="5" t="s">
        <v>40</v>
      </c>
      <c r="J33" s="5" t="s">
        <v>23</v>
      </c>
      <c r="K33" s="3">
        <v>67</v>
      </c>
      <c r="L33" s="11">
        <f>jewels[[#This Row],[Unit Price]]/(1+40%)</f>
        <v>4521003.5714285718</v>
      </c>
      <c r="M33" s="11">
        <v>6329405</v>
      </c>
      <c r="N33" s="3">
        <v>8</v>
      </c>
      <c r="O33" s="11">
        <f>jewels[[#This Row],[Cost ]]*jewels[[#This Row],[Sales_Qty]]</f>
        <v>36168028.571428575</v>
      </c>
      <c r="P33" s="11">
        <v>50635240</v>
      </c>
      <c r="Q33" s="11">
        <f>jewels[[#This Row],[Total Sales Value]]-jewels[[#This Row],[Cost Per Unit]]</f>
        <v>14467211.428571425</v>
      </c>
      <c r="R33" s="13">
        <f>jewels[[#This Row],[Profit]]/jewels[[#This Row],[Cost Per Unit]]</f>
        <v>0.39999999999999986</v>
      </c>
    </row>
    <row r="34" spans="1:18" x14ac:dyDescent="0.25">
      <c r="A34" s="3">
        <v>33</v>
      </c>
      <c r="B34" s="4">
        <v>44983</v>
      </c>
      <c r="C34" s="3">
        <v>2023</v>
      </c>
      <c r="D34" s="3">
        <v>2</v>
      </c>
      <c r="E34" s="5" t="s">
        <v>19</v>
      </c>
      <c r="F34" s="3">
        <v>215</v>
      </c>
      <c r="G34" s="5" t="s">
        <v>57</v>
      </c>
      <c r="H34" s="5" t="s">
        <v>35</v>
      </c>
      <c r="I34" s="5" t="s">
        <v>22</v>
      </c>
      <c r="J34" s="5" t="s">
        <v>32</v>
      </c>
      <c r="K34" s="3">
        <v>79</v>
      </c>
      <c r="L34" s="11">
        <f>jewels[[#This Row],[Unit Price]]/(1+40%)</f>
        <v>303835</v>
      </c>
      <c r="M34" s="11">
        <v>425369</v>
      </c>
      <c r="N34" s="3">
        <v>3</v>
      </c>
      <c r="O34" s="11">
        <f>jewels[[#This Row],[Cost ]]*jewels[[#This Row],[Sales_Qty]]</f>
        <v>911505</v>
      </c>
      <c r="P34" s="11">
        <v>1276107</v>
      </c>
      <c r="Q34" s="11">
        <f>jewels[[#This Row],[Total Sales Value]]-jewels[[#This Row],[Cost Per Unit]]</f>
        <v>364602</v>
      </c>
      <c r="R34" s="13">
        <f>jewels[[#This Row],[Profit]]/jewels[[#This Row],[Cost Per Unit]]</f>
        <v>0.4</v>
      </c>
    </row>
    <row r="35" spans="1:18" x14ac:dyDescent="0.25">
      <c r="A35" s="3">
        <v>34</v>
      </c>
      <c r="B35" s="4">
        <v>44520</v>
      </c>
      <c r="C35" s="3">
        <v>2021</v>
      </c>
      <c r="D35" s="3">
        <v>11</v>
      </c>
      <c r="E35" s="5" t="s">
        <v>58</v>
      </c>
      <c r="F35" s="3">
        <v>162</v>
      </c>
      <c r="G35" s="5" t="s">
        <v>59</v>
      </c>
      <c r="H35" s="5" t="s">
        <v>56</v>
      </c>
      <c r="I35" s="5" t="s">
        <v>39</v>
      </c>
      <c r="J35" s="5" t="s">
        <v>28</v>
      </c>
      <c r="K35" s="3">
        <v>83</v>
      </c>
      <c r="L35" s="11">
        <f>jewels[[#This Row],[Unit Price]]/(1+40%)</f>
        <v>5869996.4285714291</v>
      </c>
      <c r="M35" s="11">
        <v>8217995</v>
      </c>
      <c r="N35" s="3">
        <v>8</v>
      </c>
      <c r="O35" s="11">
        <f>jewels[[#This Row],[Cost ]]*jewels[[#This Row],[Sales_Qty]]</f>
        <v>46959971.428571433</v>
      </c>
      <c r="P35" s="11">
        <v>65743960</v>
      </c>
      <c r="Q35" s="11">
        <f>jewels[[#This Row],[Total Sales Value]]-jewels[[#This Row],[Cost Per Unit]]</f>
        <v>18783988.571428567</v>
      </c>
      <c r="R35" s="13">
        <f>jewels[[#This Row],[Profit]]/jewels[[#This Row],[Cost Per Unit]]</f>
        <v>0.39999999999999986</v>
      </c>
    </row>
    <row r="36" spans="1:18" x14ac:dyDescent="0.25">
      <c r="A36" s="3">
        <v>35</v>
      </c>
      <c r="B36" s="4">
        <v>44736</v>
      </c>
      <c r="C36" s="3">
        <v>2022</v>
      </c>
      <c r="D36" s="3">
        <v>6</v>
      </c>
      <c r="E36" s="5" t="s">
        <v>14</v>
      </c>
      <c r="F36" s="3">
        <v>129</v>
      </c>
      <c r="G36" s="5" t="s">
        <v>31</v>
      </c>
      <c r="H36" s="5" t="s">
        <v>26</v>
      </c>
      <c r="I36" s="5" t="s">
        <v>39</v>
      </c>
      <c r="J36" s="5" t="s">
        <v>30</v>
      </c>
      <c r="K36" s="3">
        <v>55</v>
      </c>
      <c r="L36" s="11">
        <f>jewels[[#This Row],[Unit Price]]/(1+40%)</f>
        <v>4919002.8571428573</v>
      </c>
      <c r="M36" s="11">
        <v>6886604</v>
      </c>
      <c r="N36" s="3">
        <v>2</v>
      </c>
      <c r="O36" s="11">
        <f>jewels[[#This Row],[Cost ]]*jewels[[#This Row],[Sales_Qty]]</f>
        <v>9838005.7142857146</v>
      </c>
      <c r="P36" s="11">
        <v>13773208</v>
      </c>
      <c r="Q36" s="11">
        <f>jewels[[#This Row],[Total Sales Value]]-jewels[[#This Row],[Cost Per Unit]]</f>
        <v>3935202.2857142854</v>
      </c>
      <c r="R36" s="13">
        <f>jewels[[#This Row],[Profit]]/jewels[[#This Row],[Cost Per Unit]]</f>
        <v>0.39999999999999997</v>
      </c>
    </row>
    <row r="37" spans="1:18" x14ac:dyDescent="0.25">
      <c r="A37" s="3">
        <v>36</v>
      </c>
      <c r="B37" s="4">
        <v>45153</v>
      </c>
      <c r="C37" s="3">
        <v>2023</v>
      </c>
      <c r="D37" s="3">
        <v>8</v>
      </c>
      <c r="E37" s="5" t="s">
        <v>51</v>
      </c>
      <c r="F37" s="3">
        <v>307</v>
      </c>
      <c r="G37" s="5" t="s">
        <v>52</v>
      </c>
      <c r="H37" s="5" t="s">
        <v>21</v>
      </c>
      <c r="I37" s="5" t="s">
        <v>17</v>
      </c>
      <c r="J37" s="5" t="s">
        <v>23</v>
      </c>
      <c r="K37" s="3">
        <v>85</v>
      </c>
      <c r="L37" s="11">
        <f>jewels[[#This Row],[Unit Price]]/(1+40%)</f>
        <v>6401670.7142857146</v>
      </c>
      <c r="M37" s="11">
        <v>8962339</v>
      </c>
      <c r="N37" s="3">
        <v>1</v>
      </c>
      <c r="O37" s="11">
        <f>jewels[[#This Row],[Cost ]]*jewels[[#This Row],[Sales_Qty]]</f>
        <v>6401670.7142857146</v>
      </c>
      <c r="P37" s="11">
        <v>8962339</v>
      </c>
      <c r="Q37" s="11">
        <f>jewels[[#This Row],[Total Sales Value]]-jewels[[#This Row],[Cost Per Unit]]</f>
        <v>2560668.2857142854</v>
      </c>
      <c r="R37" s="13">
        <f>jewels[[#This Row],[Profit]]/jewels[[#This Row],[Cost Per Unit]]</f>
        <v>0.39999999999999997</v>
      </c>
    </row>
    <row r="38" spans="1:18" x14ac:dyDescent="0.25">
      <c r="A38" s="3">
        <v>37</v>
      </c>
      <c r="B38" s="4">
        <v>44266</v>
      </c>
      <c r="C38" s="3">
        <v>2021</v>
      </c>
      <c r="D38" s="3">
        <v>3</v>
      </c>
      <c r="E38" s="5" t="s">
        <v>43</v>
      </c>
      <c r="F38" s="3">
        <v>345</v>
      </c>
      <c r="G38" s="5" t="s">
        <v>31</v>
      </c>
      <c r="H38" s="5" t="s">
        <v>26</v>
      </c>
      <c r="I38" s="5" t="s">
        <v>40</v>
      </c>
      <c r="J38" s="5" t="s">
        <v>44</v>
      </c>
      <c r="K38" s="3">
        <v>70</v>
      </c>
      <c r="L38" s="11">
        <f>jewels[[#This Row],[Unit Price]]/(1+40%)</f>
        <v>5234582.1428571427</v>
      </c>
      <c r="M38" s="11">
        <v>7328415</v>
      </c>
      <c r="N38" s="3">
        <v>10</v>
      </c>
      <c r="O38" s="11">
        <f>jewels[[#This Row],[Cost ]]*jewels[[#This Row],[Sales_Qty]]</f>
        <v>52345821.428571425</v>
      </c>
      <c r="P38" s="11">
        <v>73284150</v>
      </c>
      <c r="Q38" s="11">
        <f>jewels[[#This Row],[Total Sales Value]]-jewels[[#This Row],[Cost Per Unit]]</f>
        <v>20938328.571428575</v>
      </c>
      <c r="R38" s="13">
        <f>jewels[[#This Row],[Profit]]/jewels[[#This Row],[Cost Per Unit]]</f>
        <v>0.40000000000000008</v>
      </c>
    </row>
    <row r="39" spans="1:18" x14ac:dyDescent="0.25">
      <c r="A39" s="3">
        <v>38</v>
      </c>
      <c r="B39" s="4">
        <v>44203</v>
      </c>
      <c r="C39" s="3">
        <v>2021</v>
      </c>
      <c r="D39" s="3">
        <v>1</v>
      </c>
      <c r="E39" s="5" t="s">
        <v>41</v>
      </c>
      <c r="F39" s="3">
        <v>270</v>
      </c>
      <c r="G39" s="5" t="s">
        <v>60</v>
      </c>
      <c r="H39" s="5" t="s">
        <v>16</v>
      </c>
      <c r="I39" s="5" t="s">
        <v>27</v>
      </c>
      <c r="J39" s="5" t="s">
        <v>45</v>
      </c>
      <c r="K39" s="3">
        <v>94</v>
      </c>
      <c r="L39" s="11">
        <f>jewels[[#This Row],[Unit Price]]/(1+40%)</f>
        <v>640890.71428571432</v>
      </c>
      <c r="M39" s="11">
        <v>897247</v>
      </c>
      <c r="N39" s="3">
        <v>4</v>
      </c>
      <c r="O39" s="11">
        <f>jewels[[#This Row],[Cost ]]*jewels[[#This Row],[Sales_Qty]]</f>
        <v>2563562.8571428573</v>
      </c>
      <c r="P39" s="11">
        <v>3588988</v>
      </c>
      <c r="Q39" s="11">
        <f>jewels[[#This Row],[Total Sales Value]]-jewels[[#This Row],[Cost Per Unit]]</f>
        <v>1025425.1428571427</v>
      </c>
      <c r="R39" s="13">
        <f>jewels[[#This Row],[Profit]]/jewels[[#This Row],[Cost Per Unit]]</f>
        <v>0.39999999999999991</v>
      </c>
    </row>
    <row r="40" spans="1:18" x14ac:dyDescent="0.25">
      <c r="A40" s="3">
        <v>39</v>
      </c>
      <c r="B40" s="4">
        <v>44040</v>
      </c>
      <c r="C40" s="3">
        <v>2020</v>
      </c>
      <c r="D40" s="3">
        <v>7</v>
      </c>
      <c r="E40" s="5" t="s">
        <v>49</v>
      </c>
      <c r="F40" s="3">
        <v>418</v>
      </c>
      <c r="G40" s="5" t="s">
        <v>38</v>
      </c>
      <c r="H40" s="5" t="s">
        <v>35</v>
      </c>
      <c r="I40" s="5" t="s">
        <v>17</v>
      </c>
      <c r="J40" s="5" t="s">
        <v>28</v>
      </c>
      <c r="K40" s="3">
        <v>57</v>
      </c>
      <c r="L40" s="11">
        <f>jewels[[#This Row],[Unit Price]]/(1+40%)</f>
        <v>6418432.8571428573</v>
      </c>
      <c r="M40" s="11">
        <v>8985806</v>
      </c>
      <c r="N40" s="3">
        <v>8</v>
      </c>
      <c r="O40" s="11">
        <f>jewels[[#This Row],[Cost ]]*jewels[[#This Row],[Sales_Qty]]</f>
        <v>51347462.857142858</v>
      </c>
      <c r="P40" s="11">
        <v>71886448</v>
      </c>
      <c r="Q40" s="11">
        <f>jewels[[#This Row],[Total Sales Value]]-jewels[[#This Row],[Cost Per Unit]]</f>
        <v>20538985.142857142</v>
      </c>
      <c r="R40" s="13">
        <f>jewels[[#This Row],[Profit]]/jewels[[#This Row],[Cost Per Unit]]</f>
        <v>0.39999999999999997</v>
      </c>
    </row>
    <row r="41" spans="1:18" x14ac:dyDescent="0.25">
      <c r="A41" s="3">
        <v>40</v>
      </c>
      <c r="B41" s="4">
        <v>44914</v>
      </c>
      <c r="C41" s="3">
        <v>2022</v>
      </c>
      <c r="D41" s="3">
        <v>12</v>
      </c>
      <c r="E41" s="5" t="s">
        <v>37</v>
      </c>
      <c r="F41" s="3">
        <v>57</v>
      </c>
      <c r="G41" s="5" t="s">
        <v>52</v>
      </c>
      <c r="H41" s="5" t="s">
        <v>21</v>
      </c>
      <c r="I41" s="5" t="s">
        <v>39</v>
      </c>
      <c r="J41" s="5" t="s">
        <v>44</v>
      </c>
      <c r="K41" s="3">
        <v>50</v>
      </c>
      <c r="L41" s="11">
        <f>jewels[[#This Row],[Unit Price]]/(1+40%)</f>
        <v>3139649.2857142859</v>
      </c>
      <c r="M41" s="11">
        <v>4395509</v>
      </c>
      <c r="N41" s="3">
        <v>8</v>
      </c>
      <c r="O41" s="11">
        <f>jewels[[#This Row],[Cost ]]*jewels[[#This Row],[Sales_Qty]]</f>
        <v>25117194.285714287</v>
      </c>
      <c r="P41" s="11">
        <v>35164072</v>
      </c>
      <c r="Q41" s="11">
        <f>jewels[[#This Row],[Total Sales Value]]-jewels[[#This Row],[Cost Per Unit]]</f>
        <v>10046877.714285713</v>
      </c>
      <c r="R41" s="13">
        <f>jewels[[#This Row],[Profit]]/jewels[[#This Row],[Cost Per Unit]]</f>
        <v>0.39999999999999991</v>
      </c>
    </row>
    <row r="42" spans="1:18" x14ac:dyDescent="0.25">
      <c r="A42" s="3">
        <v>41</v>
      </c>
      <c r="B42" s="4">
        <v>44959</v>
      </c>
      <c r="C42" s="3">
        <v>2023</v>
      </c>
      <c r="D42" s="3">
        <v>2</v>
      </c>
      <c r="E42" s="5" t="s">
        <v>19</v>
      </c>
      <c r="F42" s="3">
        <v>173</v>
      </c>
      <c r="G42" s="5" t="s">
        <v>31</v>
      </c>
      <c r="H42" s="5" t="s">
        <v>26</v>
      </c>
      <c r="I42" s="5" t="s">
        <v>22</v>
      </c>
      <c r="J42" s="5" t="s">
        <v>30</v>
      </c>
      <c r="K42" s="3">
        <v>99</v>
      </c>
      <c r="L42" s="11">
        <f>jewels[[#This Row],[Unit Price]]/(1+40%)</f>
        <v>6036649.2857142864</v>
      </c>
      <c r="M42" s="11">
        <v>8451309</v>
      </c>
      <c r="N42" s="3">
        <v>6</v>
      </c>
      <c r="O42" s="11">
        <f>jewels[[#This Row],[Cost ]]*jewels[[#This Row],[Sales_Qty]]</f>
        <v>36219895.714285716</v>
      </c>
      <c r="P42" s="11">
        <v>50707854</v>
      </c>
      <c r="Q42" s="11">
        <f>jewels[[#This Row],[Total Sales Value]]-jewels[[#This Row],[Cost Per Unit]]</f>
        <v>14487958.285714284</v>
      </c>
      <c r="R42" s="13">
        <f>jewels[[#This Row],[Profit]]/jewels[[#This Row],[Cost Per Unit]]</f>
        <v>0.39999999999999991</v>
      </c>
    </row>
    <row r="43" spans="1:18" x14ac:dyDescent="0.25">
      <c r="A43" s="3">
        <v>42</v>
      </c>
      <c r="B43" s="4">
        <v>44856</v>
      </c>
      <c r="C43" s="3">
        <v>2022</v>
      </c>
      <c r="D43" s="3">
        <v>10</v>
      </c>
      <c r="E43" s="5" t="s">
        <v>61</v>
      </c>
      <c r="F43" s="3">
        <v>355</v>
      </c>
      <c r="G43" s="5" t="s">
        <v>34</v>
      </c>
      <c r="H43" s="5" t="s">
        <v>35</v>
      </c>
      <c r="I43" s="5" t="s">
        <v>22</v>
      </c>
      <c r="J43" s="5" t="s">
        <v>32</v>
      </c>
      <c r="K43" s="3">
        <v>77</v>
      </c>
      <c r="L43" s="11">
        <f>jewels[[#This Row],[Unit Price]]/(1+40%)</f>
        <v>3778580.0000000005</v>
      </c>
      <c r="M43" s="11">
        <v>5290012</v>
      </c>
      <c r="N43" s="3">
        <v>1</v>
      </c>
      <c r="O43" s="11">
        <f>jewels[[#This Row],[Cost ]]*jewels[[#This Row],[Sales_Qty]]</f>
        <v>3778580.0000000005</v>
      </c>
      <c r="P43" s="11">
        <v>5290012</v>
      </c>
      <c r="Q43" s="11">
        <f>jewels[[#This Row],[Total Sales Value]]-jewels[[#This Row],[Cost Per Unit]]</f>
        <v>1511431.9999999995</v>
      </c>
      <c r="R43" s="13">
        <f>jewels[[#This Row],[Profit]]/jewels[[#This Row],[Cost Per Unit]]</f>
        <v>0.3999999999999998</v>
      </c>
    </row>
    <row r="44" spans="1:18" x14ac:dyDescent="0.25">
      <c r="A44" s="3">
        <v>43</v>
      </c>
      <c r="B44" s="4">
        <v>45101</v>
      </c>
      <c r="C44" s="3">
        <v>2023</v>
      </c>
      <c r="D44" s="3">
        <v>6</v>
      </c>
      <c r="E44" s="5" t="s">
        <v>14</v>
      </c>
      <c r="F44" s="3">
        <v>20</v>
      </c>
      <c r="G44" s="5" t="s">
        <v>59</v>
      </c>
      <c r="H44" s="5" t="s">
        <v>56</v>
      </c>
      <c r="I44" s="5" t="s">
        <v>22</v>
      </c>
      <c r="J44" s="5" t="s">
        <v>18</v>
      </c>
      <c r="K44" s="3">
        <v>83</v>
      </c>
      <c r="L44" s="11">
        <f>jewels[[#This Row],[Unit Price]]/(1+40%)</f>
        <v>6624021.4285714291</v>
      </c>
      <c r="M44" s="11">
        <v>9273630</v>
      </c>
      <c r="N44" s="3">
        <v>4</v>
      </c>
      <c r="O44" s="11">
        <f>jewels[[#This Row],[Cost ]]*jewels[[#This Row],[Sales_Qty]]</f>
        <v>26496085.714285716</v>
      </c>
      <c r="P44" s="11">
        <v>37094520</v>
      </c>
      <c r="Q44" s="11">
        <f>jewels[[#This Row],[Total Sales Value]]-jewels[[#This Row],[Cost Per Unit]]</f>
        <v>10598434.285714284</v>
      </c>
      <c r="R44" s="13">
        <f>jewels[[#This Row],[Profit]]/jewels[[#This Row],[Cost Per Unit]]</f>
        <v>0.39999999999999991</v>
      </c>
    </row>
    <row r="45" spans="1:18" x14ac:dyDescent="0.25">
      <c r="A45" s="3">
        <v>44</v>
      </c>
      <c r="B45" s="4">
        <v>44746</v>
      </c>
      <c r="C45" s="3">
        <v>2022</v>
      </c>
      <c r="D45" s="3">
        <v>7</v>
      </c>
      <c r="E45" s="5" t="s">
        <v>49</v>
      </c>
      <c r="F45" s="3">
        <v>23</v>
      </c>
      <c r="G45" s="5" t="s">
        <v>34</v>
      </c>
      <c r="H45" s="5" t="s">
        <v>35</v>
      </c>
      <c r="I45" s="5" t="s">
        <v>29</v>
      </c>
      <c r="J45" s="5" t="s">
        <v>18</v>
      </c>
      <c r="K45" s="3">
        <v>62</v>
      </c>
      <c r="L45" s="11">
        <f>jewels[[#This Row],[Unit Price]]/(1+40%)</f>
        <v>4409905</v>
      </c>
      <c r="M45" s="11">
        <v>6173867</v>
      </c>
      <c r="N45" s="3">
        <v>2</v>
      </c>
      <c r="O45" s="11">
        <f>jewels[[#This Row],[Cost ]]*jewels[[#This Row],[Sales_Qty]]</f>
        <v>8819810</v>
      </c>
      <c r="P45" s="11">
        <v>12347734</v>
      </c>
      <c r="Q45" s="11">
        <f>jewels[[#This Row],[Total Sales Value]]-jewels[[#This Row],[Cost Per Unit]]</f>
        <v>3527924</v>
      </c>
      <c r="R45" s="13">
        <f>jewels[[#This Row],[Profit]]/jewels[[#This Row],[Cost Per Unit]]</f>
        <v>0.4</v>
      </c>
    </row>
    <row r="46" spans="1:18" x14ac:dyDescent="0.25">
      <c r="A46" s="3">
        <v>45</v>
      </c>
      <c r="B46" s="4">
        <v>44593</v>
      </c>
      <c r="C46" s="3">
        <v>2022</v>
      </c>
      <c r="D46" s="3">
        <v>2</v>
      </c>
      <c r="E46" s="5" t="s">
        <v>19</v>
      </c>
      <c r="F46" s="3">
        <v>358</v>
      </c>
      <c r="G46" s="5" t="s">
        <v>15</v>
      </c>
      <c r="H46" s="5" t="s">
        <v>16</v>
      </c>
      <c r="I46" s="5" t="s">
        <v>27</v>
      </c>
      <c r="J46" s="5" t="s">
        <v>23</v>
      </c>
      <c r="K46" s="3">
        <v>56</v>
      </c>
      <c r="L46" s="11">
        <f>jewels[[#This Row],[Unit Price]]/(1+40%)</f>
        <v>5963254.2857142864</v>
      </c>
      <c r="M46" s="11">
        <v>8348556</v>
      </c>
      <c r="N46" s="3">
        <v>6</v>
      </c>
      <c r="O46" s="11">
        <f>jewels[[#This Row],[Cost ]]*jewels[[#This Row],[Sales_Qty]]</f>
        <v>35779525.714285716</v>
      </c>
      <c r="P46" s="11">
        <v>50091336</v>
      </c>
      <c r="Q46" s="11">
        <f>jewels[[#This Row],[Total Sales Value]]-jewels[[#This Row],[Cost Per Unit]]</f>
        <v>14311810.285714284</v>
      </c>
      <c r="R46" s="13">
        <f>jewels[[#This Row],[Profit]]/jewels[[#This Row],[Cost Per Unit]]</f>
        <v>0.39999999999999991</v>
      </c>
    </row>
    <row r="47" spans="1:18" x14ac:dyDescent="0.25">
      <c r="A47" s="3">
        <v>46</v>
      </c>
      <c r="B47" s="4">
        <v>44163</v>
      </c>
      <c r="C47" s="3">
        <v>2020</v>
      </c>
      <c r="D47" s="3">
        <v>11</v>
      </c>
      <c r="E47" s="5" t="s">
        <v>58</v>
      </c>
      <c r="F47" s="3">
        <v>490</v>
      </c>
      <c r="G47" s="5" t="s">
        <v>20</v>
      </c>
      <c r="H47" s="5" t="s">
        <v>21</v>
      </c>
      <c r="I47" s="5" t="s">
        <v>29</v>
      </c>
      <c r="J47" s="5" t="s">
        <v>45</v>
      </c>
      <c r="K47" s="3">
        <v>68</v>
      </c>
      <c r="L47" s="11">
        <f>jewels[[#This Row],[Unit Price]]/(1+40%)</f>
        <v>323674.28571428574</v>
      </c>
      <c r="M47" s="11">
        <v>453144</v>
      </c>
      <c r="N47" s="3">
        <v>6</v>
      </c>
      <c r="O47" s="11">
        <f>jewels[[#This Row],[Cost ]]*jewels[[#This Row],[Sales_Qty]]</f>
        <v>1942045.7142857146</v>
      </c>
      <c r="P47" s="11">
        <v>2718864</v>
      </c>
      <c r="Q47" s="11">
        <f>jewels[[#This Row],[Total Sales Value]]-jewels[[#This Row],[Cost Per Unit]]</f>
        <v>776818.28571428545</v>
      </c>
      <c r="R47" s="13">
        <f>jewels[[#This Row],[Profit]]/jewels[[#This Row],[Cost Per Unit]]</f>
        <v>0.3999999999999998</v>
      </c>
    </row>
    <row r="48" spans="1:18" x14ac:dyDescent="0.25">
      <c r="A48" s="3">
        <v>47</v>
      </c>
      <c r="B48" s="4">
        <v>45085</v>
      </c>
      <c r="C48" s="3">
        <v>2023</v>
      </c>
      <c r="D48" s="3">
        <v>6</v>
      </c>
      <c r="E48" s="5" t="s">
        <v>14</v>
      </c>
      <c r="F48" s="3">
        <v>90</v>
      </c>
      <c r="G48" s="5" t="s">
        <v>36</v>
      </c>
      <c r="H48" s="5" t="s">
        <v>16</v>
      </c>
      <c r="I48" s="5" t="s">
        <v>29</v>
      </c>
      <c r="J48" s="5" t="s">
        <v>23</v>
      </c>
      <c r="K48" s="3">
        <v>85</v>
      </c>
      <c r="L48" s="11">
        <f>jewels[[#This Row],[Unit Price]]/(1+40%)</f>
        <v>1808634.2857142859</v>
      </c>
      <c r="M48" s="11">
        <v>2532088</v>
      </c>
      <c r="N48" s="3">
        <v>10</v>
      </c>
      <c r="O48" s="11">
        <f>jewels[[#This Row],[Cost ]]*jewels[[#This Row],[Sales_Qty]]</f>
        <v>18086342.857142858</v>
      </c>
      <c r="P48" s="11">
        <v>25320880</v>
      </c>
      <c r="Q48" s="11">
        <f>jewels[[#This Row],[Total Sales Value]]-jewels[[#This Row],[Cost Per Unit]]</f>
        <v>7234537.1428571418</v>
      </c>
      <c r="R48" s="13">
        <f>jewels[[#This Row],[Profit]]/jewels[[#This Row],[Cost Per Unit]]</f>
        <v>0.39999999999999991</v>
      </c>
    </row>
    <row r="49" spans="1:18" x14ac:dyDescent="0.25">
      <c r="A49" s="3">
        <v>48</v>
      </c>
      <c r="B49" s="4">
        <v>44480</v>
      </c>
      <c r="C49" s="3">
        <v>2021</v>
      </c>
      <c r="D49" s="3">
        <v>10</v>
      </c>
      <c r="E49" s="5" t="s">
        <v>61</v>
      </c>
      <c r="F49" s="3">
        <v>21</v>
      </c>
      <c r="G49" s="5" t="s">
        <v>38</v>
      </c>
      <c r="H49" s="5" t="s">
        <v>35</v>
      </c>
      <c r="I49" s="5" t="s">
        <v>40</v>
      </c>
      <c r="J49" s="5" t="s">
        <v>50</v>
      </c>
      <c r="K49" s="3">
        <v>99</v>
      </c>
      <c r="L49" s="11">
        <f>jewels[[#This Row],[Unit Price]]/(1+40%)</f>
        <v>5813690</v>
      </c>
      <c r="M49" s="11">
        <v>8139166</v>
      </c>
      <c r="N49" s="3">
        <v>2</v>
      </c>
      <c r="O49" s="11">
        <f>jewels[[#This Row],[Cost ]]*jewels[[#This Row],[Sales_Qty]]</f>
        <v>11627380</v>
      </c>
      <c r="P49" s="11">
        <v>16278332</v>
      </c>
      <c r="Q49" s="11">
        <f>jewels[[#This Row],[Total Sales Value]]-jewels[[#This Row],[Cost Per Unit]]</f>
        <v>4650952</v>
      </c>
      <c r="R49" s="13">
        <f>jewels[[#This Row],[Profit]]/jewels[[#This Row],[Cost Per Unit]]</f>
        <v>0.4</v>
      </c>
    </row>
    <row r="50" spans="1:18" x14ac:dyDescent="0.25">
      <c r="A50" s="3">
        <v>49</v>
      </c>
      <c r="B50" s="4">
        <v>44517</v>
      </c>
      <c r="C50" s="3">
        <v>2021</v>
      </c>
      <c r="D50" s="3">
        <v>11</v>
      </c>
      <c r="E50" s="5" t="s">
        <v>58</v>
      </c>
      <c r="F50" s="3">
        <v>475</v>
      </c>
      <c r="G50" s="5" t="s">
        <v>31</v>
      </c>
      <c r="H50" s="5" t="s">
        <v>26</v>
      </c>
      <c r="I50" s="5" t="s">
        <v>17</v>
      </c>
      <c r="J50" s="5" t="s">
        <v>23</v>
      </c>
      <c r="K50" s="3">
        <v>69</v>
      </c>
      <c r="L50" s="11">
        <f>jewels[[#This Row],[Unit Price]]/(1+40%)</f>
        <v>2173274.2857142859</v>
      </c>
      <c r="M50" s="11">
        <v>3042584</v>
      </c>
      <c r="N50" s="3">
        <v>3</v>
      </c>
      <c r="O50" s="11">
        <f>jewels[[#This Row],[Cost ]]*jewels[[#This Row],[Sales_Qty]]</f>
        <v>6519822.8571428582</v>
      </c>
      <c r="P50" s="11">
        <v>9127752</v>
      </c>
      <c r="Q50" s="11">
        <f>jewels[[#This Row],[Total Sales Value]]-jewels[[#This Row],[Cost Per Unit]]</f>
        <v>2607929.1428571418</v>
      </c>
      <c r="R50" s="13">
        <f>jewels[[#This Row],[Profit]]/jewels[[#This Row],[Cost Per Unit]]</f>
        <v>0.39999999999999974</v>
      </c>
    </row>
    <row r="51" spans="1:18" x14ac:dyDescent="0.25">
      <c r="A51" s="3">
        <v>50</v>
      </c>
      <c r="B51" s="4">
        <v>44378</v>
      </c>
      <c r="C51" s="3">
        <v>2021</v>
      </c>
      <c r="D51" s="3">
        <v>7</v>
      </c>
      <c r="E51" s="5" t="s">
        <v>49</v>
      </c>
      <c r="F51" s="3">
        <v>474</v>
      </c>
      <c r="G51" s="5" t="s">
        <v>59</v>
      </c>
      <c r="H51" s="5" t="s">
        <v>56</v>
      </c>
      <c r="I51" s="5" t="s">
        <v>17</v>
      </c>
      <c r="J51" s="5" t="s">
        <v>45</v>
      </c>
      <c r="K51" s="3">
        <v>92</v>
      </c>
      <c r="L51" s="11">
        <f>jewels[[#This Row],[Unit Price]]/(1+40%)</f>
        <v>6268691.4285714291</v>
      </c>
      <c r="M51" s="11">
        <v>8776168</v>
      </c>
      <c r="N51" s="3">
        <v>8</v>
      </c>
      <c r="O51" s="11">
        <f>jewels[[#This Row],[Cost ]]*jewels[[#This Row],[Sales_Qty]]</f>
        <v>50149531.428571433</v>
      </c>
      <c r="P51" s="11">
        <v>70209344</v>
      </c>
      <c r="Q51" s="11">
        <f>jewels[[#This Row],[Total Sales Value]]-jewels[[#This Row],[Cost Per Unit]]</f>
        <v>20059812.571428567</v>
      </c>
      <c r="R51" s="13">
        <f>jewels[[#This Row],[Profit]]/jewels[[#This Row],[Cost Per Unit]]</f>
        <v>0.39999999999999986</v>
      </c>
    </row>
    <row r="52" spans="1:18" x14ac:dyDescent="0.25">
      <c r="A52" s="3">
        <v>51</v>
      </c>
      <c r="B52" s="4">
        <v>45338</v>
      </c>
      <c r="C52" s="3">
        <v>2024</v>
      </c>
      <c r="D52" s="3">
        <v>2</v>
      </c>
      <c r="E52" s="5" t="s">
        <v>19</v>
      </c>
      <c r="F52" s="3">
        <v>20</v>
      </c>
      <c r="G52" s="5" t="s">
        <v>55</v>
      </c>
      <c r="H52" s="5" t="s">
        <v>56</v>
      </c>
      <c r="I52" s="5" t="s">
        <v>29</v>
      </c>
      <c r="J52" s="5" t="s">
        <v>32</v>
      </c>
      <c r="K52" s="3">
        <v>95</v>
      </c>
      <c r="L52" s="11">
        <f>jewels[[#This Row],[Unit Price]]/(1+40%)</f>
        <v>3986071.4285714286</v>
      </c>
      <c r="M52" s="11">
        <v>5580500</v>
      </c>
      <c r="N52" s="3">
        <v>6</v>
      </c>
      <c r="O52" s="11">
        <f>jewels[[#This Row],[Cost ]]*jewels[[#This Row],[Sales_Qty]]</f>
        <v>23916428.571428571</v>
      </c>
      <c r="P52" s="11">
        <v>33483000</v>
      </c>
      <c r="Q52" s="11">
        <f>jewels[[#This Row],[Total Sales Value]]-jewels[[#This Row],[Cost Per Unit]]</f>
        <v>9566571.4285714291</v>
      </c>
      <c r="R52" s="13">
        <f>jewels[[#This Row],[Profit]]/jewels[[#This Row],[Cost Per Unit]]</f>
        <v>0.4</v>
      </c>
    </row>
    <row r="53" spans="1:18" x14ac:dyDescent="0.25">
      <c r="A53" s="3">
        <v>52</v>
      </c>
      <c r="B53" s="4">
        <v>44804</v>
      </c>
      <c r="C53" s="3">
        <v>2022</v>
      </c>
      <c r="D53" s="3">
        <v>8</v>
      </c>
      <c r="E53" s="5" t="s">
        <v>51</v>
      </c>
      <c r="F53" s="3">
        <v>51</v>
      </c>
      <c r="G53" s="5" t="s">
        <v>34</v>
      </c>
      <c r="H53" s="5" t="s">
        <v>35</v>
      </c>
      <c r="I53" s="5" t="s">
        <v>40</v>
      </c>
      <c r="J53" s="5" t="s">
        <v>32</v>
      </c>
      <c r="K53" s="3">
        <v>54</v>
      </c>
      <c r="L53" s="11">
        <f>jewels[[#This Row],[Unit Price]]/(1+40%)</f>
        <v>4664265.7142857146</v>
      </c>
      <c r="M53" s="11">
        <v>6529972</v>
      </c>
      <c r="N53" s="3">
        <v>3</v>
      </c>
      <c r="O53" s="11">
        <f>jewels[[#This Row],[Cost ]]*jewels[[#This Row],[Sales_Qty]]</f>
        <v>13992797.142857144</v>
      </c>
      <c r="P53" s="11">
        <v>19589916</v>
      </c>
      <c r="Q53" s="11">
        <f>jewels[[#This Row],[Total Sales Value]]-jewels[[#This Row],[Cost Per Unit]]</f>
        <v>5597118.8571428563</v>
      </c>
      <c r="R53" s="13">
        <f>jewels[[#This Row],[Profit]]/jewels[[#This Row],[Cost Per Unit]]</f>
        <v>0.39999999999999991</v>
      </c>
    </row>
    <row r="54" spans="1:18" x14ac:dyDescent="0.25">
      <c r="A54" s="3">
        <v>53</v>
      </c>
      <c r="B54" s="4">
        <v>44847</v>
      </c>
      <c r="C54" s="3">
        <v>2022</v>
      </c>
      <c r="D54" s="3">
        <v>10</v>
      </c>
      <c r="E54" s="5" t="s">
        <v>61</v>
      </c>
      <c r="F54" s="3">
        <v>487</v>
      </c>
      <c r="G54" s="5" t="s">
        <v>62</v>
      </c>
      <c r="H54" s="5" t="s">
        <v>56</v>
      </c>
      <c r="I54" s="5" t="s">
        <v>40</v>
      </c>
      <c r="J54" s="5" t="s">
        <v>18</v>
      </c>
      <c r="K54" s="3">
        <v>88</v>
      </c>
      <c r="L54" s="11">
        <f>jewels[[#This Row],[Unit Price]]/(1+40%)</f>
        <v>3008473.5714285718</v>
      </c>
      <c r="M54" s="11">
        <v>4211863</v>
      </c>
      <c r="N54" s="3">
        <v>9</v>
      </c>
      <c r="O54" s="11">
        <f>jewels[[#This Row],[Cost ]]*jewels[[#This Row],[Sales_Qty]]</f>
        <v>27076262.142857146</v>
      </c>
      <c r="P54" s="11">
        <v>37906767</v>
      </c>
      <c r="Q54" s="11">
        <f>jewels[[#This Row],[Total Sales Value]]-jewels[[#This Row],[Cost Per Unit]]</f>
        <v>10830504.857142854</v>
      </c>
      <c r="R54" s="13">
        <f>jewels[[#This Row],[Profit]]/jewels[[#This Row],[Cost Per Unit]]</f>
        <v>0.39999999999999986</v>
      </c>
    </row>
    <row r="55" spans="1:18" x14ac:dyDescent="0.25">
      <c r="A55" s="3">
        <v>54</v>
      </c>
      <c r="B55" s="4">
        <v>44608</v>
      </c>
      <c r="C55" s="3">
        <v>2022</v>
      </c>
      <c r="D55" s="3">
        <v>2</v>
      </c>
      <c r="E55" s="5" t="s">
        <v>19</v>
      </c>
      <c r="F55" s="3">
        <v>72</v>
      </c>
      <c r="G55" s="5" t="s">
        <v>15</v>
      </c>
      <c r="H55" s="5" t="s">
        <v>16</v>
      </c>
      <c r="I55" s="5" t="s">
        <v>22</v>
      </c>
      <c r="J55" s="5" t="s">
        <v>30</v>
      </c>
      <c r="K55" s="3">
        <v>84</v>
      </c>
      <c r="L55" s="11">
        <f>jewels[[#This Row],[Unit Price]]/(1+40%)</f>
        <v>1816062.8571428573</v>
      </c>
      <c r="M55" s="11">
        <v>2542488</v>
      </c>
      <c r="N55" s="3">
        <v>3</v>
      </c>
      <c r="O55" s="11">
        <f>jewels[[#This Row],[Cost ]]*jewels[[#This Row],[Sales_Qty]]</f>
        <v>5448188.5714285718</v>
      </c>
      <c r="P55" s="11">
        <v>7627464</v>
      </c>
      <c r="Q55" s="11">
        <f>jewels[[#This Row],[Total Sales Value]]-jewels[[#This Row],[Cost Per Unit]]</f>
        <v>2179275.4285714282</v>
      </c>
      <c r="R55" s="13">
        <f>jewels[[#This Row],[Profit]]/jewels[[#This Row],[Cost Per Unit]]</f>
        <v>0.39999999999999991</v>
      </c>
    </row>
    <row r="56" spans="1:18" x14ac:dyDescent="0.25">
      <c r="A56" s="3">
        <v>55</v>
      </c>
      <c r="B56" s="4">
        <v>44949</v>
      </c>
      <c r="C56" s="3">
        <v>2023</v>
      </c>
      <c r="D56" s="3">
        <v>1</v>
      </c>
      <c r="E56" s="5" t="s">
        <v>41</v>
      </c>
      <c r="F56" s="3">
        <v>218</v>
      </c>
      <c r="G56" s="5" t="s">
        <v>55</v>
      </c>
      <c r="H56" s="5" t="s">
        <v>56</v>
      </c>
      <c r="I56" s="5" t="s">
        <v>22</v>
      </c>
      <c r="J56" s="5" t="s">
        <v>44</v>
      </c>
      <c r="K56" s="3">
        <v>76</v>
      </c>
      <c r="L56" s="11">
        <f>jewels[[#This Row],[Unit Price]]/(1+40%)</f>
        <v>4461221.4285714291</v>
      </c>
      <c r="M56" s="11">
        <v>6245710</v>
      </c>
      <c r="N56" s="3">
        <v>8</v>
      </c>
      <c r="O56" s="11">
        <f>jewels[[#This Row],[Cost ]]*jewels[[#This Row],[Sales_Qty]]</f>
        <v>35689771.428571433</v>
      </c>
      <c r="P56" s="11">
        <v>49965680</v>
      </c>
      <c r="Q56" s="11">
        <f>jewels[[#This Row],[Total Sales Value]]-jewels[[#This Row],[Cost Per Unit]]</f>
        <v>14275908.571428567</v>
      </c>
      <c r="R56" s="13">
        <f>jewels[[#This Row],[Profit]]/jewels[[#This Row],[Cost Per Unit]]</f>
        <v>0.39999999999999986</v>
      </c>
    </row>
    <row r="57" spans="1:18" x14ac:dyDescent="0.25">
      <c r="A57" s="3">
        <v>56</v>
      </c>
      <c r="B57" s="4">
        <v>44189</v>
      </c>
      <c r="C57" s="3">
        <v>2020</v>
      </c>
      <c r="D57" s="3">
        <v>12</v>
      </c>
      <c r="E57" s="5" t="s">
        <v>37</v>
      </c>
      <c r="F57" s="3">
        <v>246</v>
      </c>
      <c r="G57" s="5" t="s">
        <v>60</v>
      </c>
      <c r="H57" s="5" t="s">
        <v>16</v>
      </c>
      <c r="I57" s="5" t="s">
        <v>29</v>
      </c>
      <c r="J57" s="5" t="s">
        <v>28</v>
      </c>
      <c r="K57" s="3">
        <v>90</v>
      </c>
      <c r="L57" s="11">
        <f>jewels[[#This Row],[Unit Price]]/(1+40%)</f>
        <v>1972805.0000000002</v>
      </c>
      <c r="M57" s="11">
        <v>2761927</v>
      </c>
      <c r="N57" s="3">
        <v>3</v>
      </c>
      <c r="O57" s="11">
        <f>jewels[[#This Row],[Cost ]]*jewels[[#This Row],[Sales_Qty]]</f>
        <v>5918415.0000000009</v>
      </c>
      <c r="P57" s="11">
        <v>8285781</v>
      </c>
      <c r="Q57" s="11">
        <f>jewels[[#This Row],[Total Sales Value]]-jewels[[#This Row],[Cost Per Unit]]</f>
        <v>2367365.9999999991</v>
      </c>
      <c r="R57" s="13">
        <f>jewels[[#This Row],[Profit]]/jewels[[#This Row],[Cost Per Unit]]</f>
        <v>0.3999999999999998</v>
      </c>
    </row>
    <row r="58" spans="1:18" x14ac:dyDescent="0.25">
      <c r="A58" s="3">
        <v>57</v>
      </c>
      <c r="B58" s="4">
        <v>44918</v>
      </c>
      <c r="C58" s="3">
        <v>2022</v>
      </c>
      <c r="D58" s="3">
        <v>12</v>
      </c>
      <c r="E58" s="5" t="s">
        <v>37</v>
      </c>
      <c r="F58" s="3">
        <v>43</v>
      </c>
      <c r="G58" s="5" t="s">
        <v>46</v>
      </c>
      <c r="H58" s="5" t="s">
        <v>35</v>
      </c>
      <c r="I58" s="5" t="s">
        <v>29</v>
      </c>
      <c r="J58" s="5" t="s">
        <v>50</v>
      </c>
      <c r="K58" s="3">
        <v>81</v>
      </c>
      <c r="L58" s="11">
        <f>jewels[[#This Row],[Unit Price]]/(1+40%)</f>
        <v>2872974.2857142859</v>
      </c>
      <c r="M58" s="11">
        <v>4022164</v>
      </c>
      <c r="N58" s="3">
        <v>6</v>
      </c>
      <c r="O58" s="11">
        <f>jewels[[#This Row],[Cost ]]*jewels[[#This Row],[Sales_Qty]]</f>
        <v>17237845.714285716</v>
      </c>
      <c r="P58" s="11">
        <v>24132984</v>
      </c>
      <c r="Q58" s="11">
        <f>jewels[[#This Row],[Total Sales Value]]-jewels[[#This Row],[Cost Per Unit]]</f>
        <v>6895138.2857142836</v>
      </c>
      <c r="R58" s="13">
        <f>jewels[[#This Row],[Profit]]/jewels[[#This Row],[Cost Per Unit]]</f>
        <v>0.3999999999999998</v>
      </c>
    </row>
    <row r="59" spans="1:18" x14ac:dyDescent="0.25">
      <c r="A59" s="3">
        <v>58</v>
      </c>
      <c r="B59" s="4">
        <v>45098</v>
      </c>
      <c r="C59" s="3">
        <v>2023</v>
      </c>
      <c r="D59" s="3">
        <v>6</v>
      </c>
      <c r="E59" s="5" t="s">
        <v>14</v>
      </c>
      <c r="F59" s="3">
        <v>76</v>
      </c>
      <c r="G59" s="5" t="s">
        <v>38</v>
      </c>
      <c r="H59" s="5" t="s">
        <v>35</v>
      </c>
      <c r="I59" s="5" t="s">
        <v>22</v>
      </c>
      <c r="J59" s="5" t="s">
        <v>30</v>
      </c>
      <c r="K59" s="3">
        <v>73</v>
      </c>
      <c r="L59" s="11">
        <f>jewels[[#This Row],[Unit Price]]/(1+40%)</f>
        <v>6885200.7142857146</v>
      </c>
      <c r="M59" s="11">
        <v>9639281</v>
      </c>
      <c r="N59" s="3">
        <v>1</v>
      </c>
      <c r="O59" s="11">
        <f>jewels[[#This Row],[Cost ]]*jewels[[#This Row],[Sales_Qty]]</f>
        <v>6885200.7142857146</v>
      </c>
      <c r="P59" s="11">
        <v>9639281</v>
      </c>
      <c r="Q59" s="11">
        <f>jewels[[#This Row],[Total Sales Value]]-jewels[[#This Row],[Cost Per Unit]]</f>
        <v>2754080.2857142854</v>
      </c>
      <c r="R59" s="13">
        <f>jewels[[#This Row],[Profit]]/jewels[[#This Row],[Cost Per Unit]]</f>
        <v>0.39999999999999997</v>
      </c>
    </row>
    <row r="60" spans="1:18" x14ac:dyDescent="0.25">
      <c r="A60" s="3">
        <v>59</v>
      </c>
      <c r="B60" s="4">
        <v>44597</v>
      </c>
      <c r="C60" s="3">
        <v>2022</v>
      </c>
      <c r="D60" s="3">
        <v>2</v>
      </c>
      <c r="E60" s="5" t="s">
        <v>19</v>
      </c>
      <c r="F60" s="3">
        <v>149</v>
      </c>
      <c r="G60" s="5" t="s">
        <v>62</v>
      </c>
      <c r="H60" s="5" t="s">
        <v>56</v>
      </c>
      <c r="I60" s="5" t="s">
        <v>27</v>
      </c>
      <c r="J60" s="5" t="s">
        <v>18</v>
      </c>
      <c r="K60" s="3">
        <v>96</v>
      </c>
      <c r="L60" s="11">
        <f>jewels[[#This Row],[Unit Price]]/(1+40%)</f>
        <v>2797165.7142857146</v>
      </c>
      <c r="M60" s="11">
        <v>3916032</v>
      </c>
      <c r="N60" s="3">
        <v>3</v>
      </c>
      <c r="O60" s="11">
        <f>jewels[[#This Row],[Cost ]]*jewels[[#This Row],[Sales_Qty]]</f>
        <v>8391497.1428571437</v>
      </c>
      <c r="P60" s="11">
        <v>11748096</v>
      </c>
      <c r="Q60" s="11">
        <f>jewels[[#This Row],[Total Sales Value]]-jewels[[#This Row],[Cost Per Unit]]</f>
        <v>3356598.8571428563</v>
      </c>
      <c r="R60" s="13">
        <f>jewels[[#This Row],[Profit]]/jewels[[#This Row],[Cost Per Unit]]</f>
        <v>0.39999999999999986</v>
      </c>
    </row>
    <row r="61" spans="1:18" x14ac:dyDescent="0.25">
      <c r="A61" s="3">
        <v>60</v>
      </c>
      <c r="B61" s="4">
        <v>44101</v>
      </c>
      <c r="C61" s="3">
        <v>2020</v>
      </c>
      <c r="D61" s="3">
        <v>9</v>
      </c>
      <c r="E61" s="5" t="s">
        <v>33</v>
      </c>
      <c r="F61" s="3">
        <v>380</v>
      </c>
      <c r="G61" s="5" t="s">
        <v>46</v>
      </c>
      <c r="H61" s="5" t="s">
        <v>35</v>
      </c>
      <c r="I61" s="5" t="s">
        <v>39</v>
      </c>
      <c r="J61" s="5" t="s">
        <v>32</v>
      </c>
      <c r="K61" s="3">
        <v>89</v>
      </c>
      <c r="L61" s="11">
        <f>jewels[[#This Row],[Unit Price]]/(1+40%)</f>
        <v>2840055</v>
      </c>
      <c r="M61" s="11">
        <v>3976077</v>
      </c>
      <c r="N61" s="3">
        <v>4</v>
      </c>
      <c r="O61" s="11">
        <f>jewels[[#This Row],[Cost ]]*jewels[[#This Row],[Sales_Qty]]</f>
        <v>11360220</v>
      </c>
      <c r="P61" s="11">
        <v>15904308</v>
      </c>
      <c r="Q61" s="11">
        <f>jewels[[#This Row],[Total Sales Value]]-jewels[[#This Row],[Cost Per Unit]]</f>
        <v>4544088</v>
      </c>
      <c r="R61" s="13">
        <f>jewels[[#This Row],[Profit]]/jewels[[#This Row],[Cost Per Unit]]</f>
        <v>0.4</v>
      </c>
    </row>
    <row r="62" spans="1:18" x14ac:dyDescent="0.25">
      <c r="A62" s="3">
        <v>61</v>
      </c>
      <c r="B62" s="4">
        <v>45381</v>
      </c>
      <c r="C62" s="3">
        <v>2024</v>
      </c>
      <c r="D62" s="3">
        <v>3</v>
      </c>
      <c r="E62" s="5" t="s">
        <v>43</v>
      </c>
      <c r="F62" s="3">
        <v>400</v>
      </c>
      <c r="G62" s="5" t="s">
        <v>34</v>
      </c>
      <c r="H62" s="5" t="s">
        <v>35</v>
      </c>
      <c r="I62" s="5" t="s">
        <v>27</v>
      </c>
      <c r="J62" s="5" t="s">
        <v>50</v>
      </c>
      <c r="K62" s="3">
        <v>85</v>
      </c>
      <c r="L62" s="11">
        <f>jewels[[#This Row],[Unit Price]]/(1+40%)</f>
        <v>5353362.1428571437</v>
      </c>
      <c r="M62" s="11">
        <v>7494707</v>
      </c>
      <c r="N62" s="3">
        <v>3</v>
      </c>
      <c r="O62" s="11">
        <f>jewels[[#This Row],[Cost ]]*jewels[[#This Row],[Sales_Qty]]</f>
        <v>16060086.428571431</v>
      </c>
      <c r="P62" s="11">
        <v>22484121</v>
      </c>
      <c r="Q62" s="11">
        <f>jewels[[#This Row],[Total Sales Value]]-jewels[[#This Row],[Cost Per Unit]]</f>
        <v>6424034.571428569</v>
      </c>
      <c r="R62" s="13">
        <f>jewels[[#This Row],[Profit]]/jewels[[#This Row],[Cost Per Unit]]</f>
        <v>0.3999999999999998</v>
      </c>
    </row>
    <row r="63" spans="1:18" x14ac:dyDescent="0.25">
      <c r="A63" s="3">
        <v>62</v>
      </c>
      <c r="B63" s="4">
        <v>44190</v>
      </c>
      <c r="C63" s="3">
        <v>2020</v>
      </c>
      <c r="D63" s="3">
        <v>12</v>
      </c>
      <c r="E63" s="5" t="s">
        <v>37</v>
      </c>
      <c r="F63" s="3">
        <v>264</v>
      </c>
      <c r="G63" s="5" t="s">
        <v>63</v>
      </c>
      <c r="H63" s="5" t="s">
        <v>21</v>
      </c>
      <c r="I63" s="5" t="s">
        <v>29</v>
      </c>
      <c r="J63" s="5" t="s">
        <v>45</v>
      </c>
      <c r="K63" s="3">
        <v>66</v>
      </c>
      <c r="L63" s="11">
        <f>jewels[[#This Row],[Unit Price]]/(1+40%)</f>
        <v>4460057.8571428573</v>
      </c>
      <c r="M63" s="11">
        <v>6244081</v>
      </c>
      <c r="N63" s="3">
        <v>2</v>
      </c>
      <c r="O63" s="11">
        <f>jewels[[#This Row],[Cost ]]*jewels[[#This Row],[Sales_Qty]]</f>
        <v>8920115.7142857146</v>
      </c>
      <c r="P63" s="11">
        <v>12488162</v>
      </c>
      <c r="Q63" s="11">
        <f>jewels[[#This Row],[Total Sales Value]]-jewels[[#This Row],[Cost Per Unit]]</f>
        <v>3568046.2857142854</v>
      </c>
      <c r="R63" s="13">
        <f>jewels[[#This Row],[Profit]]/jewels[[#This Row],[Cost Per Unit]]</f>
        <v>0.39999999999999997</v>
      </c>
    </row>
    <row r="64" spans="1:18" x14ac:dyDescent="0.25">
      <c r="A64" s="3">
        <v>63</v>
      </c>
      <c r="B64" s="4">
        <v>44741</v>
      </c>
      <c r="C64" s="3">
        <v>2022</v>
      </c>
      <c r="D64" s="3">
        <v>6</v>
      </c>
      <c r="E64" s="5" t="s">
        <v>14</v>
      </c>
      <c r="F64" s="3">
        <v>204</v>
      </c>
      <c r="G64" s="5" t="s">
        <v>52</v>
      </c>
      <c r="H64" s="5" t="s">
        <v>21</v>
      </c>
      <c r="I64" s="5" t="s">
        <v>39</v>
      </c>
      <c r="J64" s="5" t="s">
        <v>47</v>
      </c>
      <c r="K64" s="3">
        <v>53</v>
      </c>
      <c r="L64" s="11">
        <f>jewels[[#This Row],[Unit Price]]/(1+40%)</f>
        <v>6068709.2857142864</v>
      </c>
      <c r="M64" s="11">
        <v>8496193</v>
      </c>
      <c r="N64" s="3">
        <v>6</v>
      </c>
      <c r="O64" s="11">
        <f>jewels[[#This Row],[Cost ]]*jewels[[#This Row],[Sales_Qty]]</f>
        <v>36412255.714285716</v>
      </c>
      <c r="P64" s="11">
        <v>50977158</v>
      </c>
      <c r="Q64" s="11">
        <f>jewels[[#This Row],[Total Sales Value]]-jewels[[#This Row],[Cost Per Unit]]</f>
        <v>14564902.285714284</v>
      </c>
      <c r="R64" s="13">
        <f>jewels[[#This Row],[Profit]]/jewels[[#This Row],[Cost Per Unit]]</f>
        <v>0.39999999999999991</v>
      </c>
    </row>
    <row r="65" spans="1:18" x14ac:dyDescent="0.25">
      <c r="A65" s="3">
        <v>64</v>
      </c>
      <c r="B65" s="4">
        <v>44268</v>
      </c>
      <c r="C65" s="3">
        <v>2021</v>
      </c>
      <c r="D65" s="3">
        <v>3</v>
      </c>
      <c r="E65" s="5" t="s">
        <v>43</v>
      </c>
      <c r="F65" s="3">
        <v>126</v>
      </c>
      <c r="G65" s="5" t="s">
        <v>15</v>
      </c>
      <c r="H65" s="5" t="s">
        <v>16</v>
      </c>
      <c r="I65" s="5" t="s">
        <v>27</v>
      </c>
      <c r="J65" s="5" t="s">
        <v>50</v>
      </c>
      <c r="K65" s="3">
        <v>75</v>
      </c>
      <c r="L65" s="11">
        <f>jewels[[#This Row],[Unit Price]]/(1+40%)</f>
        <v>5377336.4285714291</v>
      </c>
      <c r="M65" s="11">
        <v>7528271</v>
      </c>
      <c r="N65" s="3">
        <v>7</v>
      </c>
      <c r="O65" s="11">
        <f>jewels[[#This Row],[Cost ]]*jewels[[#This Row],[Sales_Qty]]</f>
        <v>37641355</v>
      </c>
      <c r="P65" s="11">
        <v>52697897</v>
      </c>
      <c r="Q65" s="11">
        <f>jewels[[#This Row],[Total Sales Value]]-jewels[[#This Row],[Cost Per Unit]]</f>
        <v>15056542</v>
      </c>
      <c r="R65" s="13">
        <f>jewels[[#This Row],[Profit]]/jewels[[#This Row],[Cost Per Unit]]</f>
        <v>0.4</v>
      </c>
    </row>
    <row r="66" spans="1:18" x14ac:dyDescent="0.25">
      <c r="A66" s="3">
        <v>65</v>
      </c>
      <c r="B66" s="4">
        <v>45257</v>
      </c>
      <c r="C66" s="3">
        <v>2023</v>
      </c>
      <c r="D66" s="3">
        <v>11</v>
      </c>
      <c r="E66" s="5" t="s">
        <v>58</v>
      </c>
      <c r="F66" s="3">
        <v>307</v>
      </c>
      <c r="G66" s="5" t="s">
        <v>20</v>
      </c>
      <c r="H66" s="5" t="s">
        <v>21</v>
      </c>
      <c r="I66" s="5" t="s">
        <v>17</v>
      </c>
      <c r="J66" s="5" t="s">
        <v>32</v>
      </c>
      <c r="K66" s="3">
        <v>80</v>
      </c>
      <c r="L66" s="11">
        <f>jewels[[#This Row],[Unit Price]]/(1+40%)</f>
        <v>2367518.5714285714</v>
      </c>
      <c r="M66" s="11">
        <v>3314526</v>
      </c>
      <c r="N66" s="3">
        <v>10</v>
      </c>
      <c r="O66" s="11">
        <f>jewels[[#This Row],[Cost ]]*jewels[[#This Row],[Sales_Qty]]</f>
        <v>23675185.714285713</v>
      </c>
      <c r="P66" s="11">
        <v>33145260</v>
      </c>
      <c r="Q66" s="11">
        <f>jewels[[#This Row],[Total Sales Value]]-jewels[[#This Row],[Cost Per Unit]]</f>
        <v>9470074.2857142873</v>
      </c>
      <c r="R66" s="13">
        <f>jewels[[#This Row],[Profit]]/jewels[[#This Row],[Cost Per Unit]]</f>
        <v>0.40000000000000008</v>
      </c>
    </row>
    <row r="67" spans="1:18" x14ac:dyDescent="0.25">
      <c r="A67" s="3">
        <v>66</v>
      </c>
      <c r="B67" s="4">
        <v>43991</v>
      </c>
      <c r="C67" s="3">
        <v>2020</v>
      </c>
      <c r="D67" s="3">
        <v>6</v>
      </c>
      <c r="E67" s="5" t="s">
        <v>14</v>
      </c>
      <c r="F67" s="3">
        <v>281</v>
      </c>
      <c r="G67" s="5" t="s">
        <v>63</v>
      </c>
      <c r="H67" s="5" t="s">
        <v>21</v>
      </c>
      <c r="I67" s="5" t="s">
        <v>39</v>
      </c>
      <c r="J67" s="5" t="s">
        <v>44</v>
      </c>
      <c r="K67" s="3">
        <v>79</v>
      </c>
      <c r="L67" s="11">
        <f>jewels[[#This Row],[Unit Price]]/(1+40%)</f>
        <v>7106357.8571428573</v>
      </c>
      <c r="M67" s="11">
        <v>9948901</v>
      </c>
      <c r="N67" s="3">
        <v>8</v>
      </c>
      <c r="O67" s="11">
        <f>jewels[[#This Row],[Cost ]]*jewels[[#This Row],[Sales_Qty]]</f>
        <v>56850862.857142858</v>
      </c>
      <c r="P67" s="11">
        <v>79591208</v>
      </c>
      <c r="Q67" s="11">
        <f>jewels[[#This Row],[Total Sales Value]]-jewels[[#This Row],[Cost Per Unit]]</f>
        <v>22740345.142857142</v>
      </c>
      <c r="R67" s="13">
        <f>jewels[[#This Row],[Profit]]/jewels[[#This Row],[Cost Per Unit]]</f>
        <v>0.39999999999999997</v>
      </c>
    </row>
    <row r="68" spans="1:18" x14ac:dyDescent="0.25">
      <c r="A68" s="3">
        <v>67</v>
      </c>
      <c r="B68" s="4">
        <v>44617</v>
      </c>
      <c r="C68" s="3">
        <v>2022</v>
      </c>
      <c r="D68" s="3">
        <v>2</v>
      </c>
      <c r="E68" s="5" t="s">
        <v>19</v>
      </c>
      <c r="F68" s="3">
        <v>95</v>
      </c>
      <c r="G68" s="5" t="s">
        <v>62</v>
      </c>
      <c r="H68" s="5" t="s">
        <v>56</v>
      </c>
      <c r="I68" s="5" t="s">
        <v>29</v>
      </c>
      <c r="J68" s="5" t="s">
        <v>32</v>
      </c>
      <c r="K68" s="3">
        <v>90</v>
      </c>
      <c r="L68" s="11">
        <f>jewels[[#This Row],[Unit Price]]/(1+40%)</f>
        <v>3250599.2857142859</v>
      </c>
      <c r="M68" s="11">
        <v>4550839</v>
      </c>
      <c r="N68" s="3">
        <v>9</v>
      </c>
      <c r="O68" s="11">
        <f>jewels[[#This Row],[Cost ]]*jewels[[#This Row],[Sales_Qty]]</f>
        <v>29255393.571428575</v>
      </c>
      <c r="P68" s="11">
        <v>40957551</v>
      </c>
      <c r="Q68" s="11">
        <f>jewels[[#This Row],[Total Sales Value]]-jewels[[#This Row],[Cost Per Unit]]</f>
        <v>11702157.428571425</v>
      </c>
      <c r="R68" s="13">
        <f>jewels[[#This Row],[Profit]]/jewels[[#This Row],[Cost Per Unit]]</f>
        <v>0.39999999999999986</v>
      </c>
    </row>
    <row r="69" spans="1:18" x14ac:dyDescent="0.25">
      <c r="A69" s="3">
        <v>68</v>
      </c>
      <c r="B69" s="4">
        <v>44331</v>
      </c>
      <c r="C69" s="3">
        <v>2021</v>
      </c>
      <c r="D69" s="3">
        <v>5</v>
      </c>
      <c r="E69" s="5" t="s">
        <v>53</v>
      </c>
      <c r="F69" s="3">
        <v>413</v>
      </c>
      <c r="G69" s="5" t="s">
        <v>62</v>
      </c>
      <c r="H69" s="5" t="s">
        <v>56</v>
      </c>
      <c r="I69" s="5" t="s">
        <v>39</v>
      </c>
      <c r="J69" s="5" t="s">
        <v>45</v>
      </c>
      <c r="K69" s="3">
        <v>50</v>
      </c>
      <c r="L69" s="11">
        <f>jewels[[#This Row],[Unit Price]]/(1+40%)</f>
        <v>3111335.7142857146</v>
      </c>
      <c r="M69" s="11">
        <v>4355870</v>
      </c>
      <c r="N69" s="3">
        <v>5</v>
      </c>
      <c r="O69" s="11">
        <f>jewels[[#This Row],[Cost ]]*jewels[[#This Row],[Sales_Qty]]</f>
        <v>15556678.571428573</v>
      </c>
      <c r="P69" s="11">
        <v>21779350</v>
      </c>
      <c r="Q69" s="11">
        <f>jewels[[#This Row],[Total Sales Value]]-jewels[[#This Row],[Cost Per Unit]]</f>
        <v>6222671.4285714272</v>
      </c>
      <c r="R69" s="13">
        <f>jewels[[#This Row],[Profit]]/jewels[[#This Row],[Cost Per Unit]]</f>
        <v>0.39999999999999986</v>
      </c>
    </row>
    <row r="70" spans="1:18" x14ac:dyDescent="0.25">
      <c r="A70" s="3">
        <v>69</v>
      </c>
      <c r="B70" s="4">
        <v>44525</v>
      </c>
      <c r="C70" s="3">
        <v>2021</v>
      </c>
      <c r="D70" s="3">
        <v>11</v>
      </c>
      <c r="E70" s="5" t="s">
        <v>58</v>
      </c>
      <c r="F70" s="3">
        <v>482</v>
      </c>
      <c r="G70" s="5" t="s">
        <v>42</v>
      </c>
      <c r="H70" s="5" t="s">
        <v>26</v>
      </c>
      <c r="I70" s="5" t="s">
        <v>40</v>
      </c>
      <c r="J70" s="5" t="s">
        <v>28</v>
      </c>
      <c r="K70" s="3">
        <v>77</v>
      </c>
      <c r="L70" s="11">
        <f>jewels[[#This Row],[Unit Price]]/(1+40%)</f>
        <v>1292827.142857143</v>
      </c>
      <c r="M70" s="11">
        <v>1809958</v>
      </c>
      <c r="N70" s="3">
        <v>8</v>
      </c>
      <c r="O70" s="11">
        <f>jewels[[#This Row],[Cost ]]*jewels[[#This Row],[Sales_Qty]]</f>
        <v>10342617.142857144</v>
      </c>
      <c r="P70" s="11">
        <v>14479664</v>
      </c>
      <c r="Q70" s="11">
        <f>jewels[[#This Row],[Total Sales Value]]-jewels[[#This Row],[Cost Per Unit]]</f>
        <v>4137046.8571428563</v>
      </c>
      <c r="R70" s="13">
        <f>jewels[[#This Row],[Profit]]/jewels[[#This Row],[Cost Per Unit]]</f>
        <v>0.39999999999999991</v>
      </c>
    </row>
    <row r="71" spans="1:18" x14ac:dyDescent="0.25">
      <c r="A71" s="3">
        <v>70</v>
      </c>
      <c r="B71" s="4">
        <v>45294</v>
      </c>
      <c r="C71" s="3">
        <v>2024</v>
      </c>
      <c r="D71" s="3">
        <v>1</v>
      </c>
      <c r="E71" s="5" t="s">
        <v>41</v>
      </c>
      <c r="F71" s="3">
        <v>204</v>
      </c>
      <c r="G71" s="5" t="s">
        <v>36</v>
      </c>
      <c r="H71" s="5" t="s">
        <v>16</v>
      </c>
      <c r="I71" s="5" t="s">
        <v>29</v>
      </c>
      <c r="J71" s="5" t="s">
        <v>45</v>
      </c>
      <c r="K71" s="3">
        <v>97</v>
      </c>
      <c r="L71" s="11">
        <f>jewels[[#This Row],[Unit Price]]/(1+40%)</f>
        <v>6802081.4285714291</v>
      </c>
      <c r="M71" s="11">
        <v>9522914</v>
      </c>
      <c r="N71" s="3">
        <v>8</v>
      </c>
      <c r="O71" s="11">
        <f>jewels[[#This Row],[Cost ]]*jewels[[#This Row],[Sales_Qty]]</f>
        <v>54416651.428571433</v>
      </c>
      <c r="P71" s="11">
        <v>76183312</v>
      </c>
      <c r="Q71" s="11">
        <f>jewels[[#This Row],[Total Sales Value]]-jewels[[#This Row],[Cost Per Unit]]</f>
        <v>21766660.571428567</v>
      </c>
      <c r="R71" s="13">
        <f>jewels[[#This Row],[Profit]]/jewels[[#This Row],[Cost Per Unit]]</f>
        <v>0.39999999999999991</v>
      </c>
    </row>
    <row r="72" spans="1:18" x14ac:dyDescent="0.25">
      <c r="A72" s="3">
        <v>71</v>
      </c>
      <c r="B72" s="4">
        <v>44371</v>
      </c>
      <c r="C72" s="3">
        <v>2021</v>
      </c>
      <c r="D72" s="3">
        <v>6</v>
      </c>
      <c r="E72" s="5" t="s">
        <v>14</v>
      </c>
      <c r="F72" s="3">
        <v>230</v>
      </c>
      <c r="G72" s="5" t="s">
        <v>15</v>
      </c>
      <c r="H72" s="5" t="s">
        <v>16</v>
      </c>
      <c r="I72" s="5" t="s">
        <v>40</v>
      </c>
      <c r="J72" s="5" t="s">
        <v>45</v>
      </c>
      <c r="K72" s="3">
        <v>60</v>
      </c>
      <c r="L72" s="11">
        <f>jewels[[#This Row],[Unit Price]]/(1+40%)</f>
        <v>303141.42857142858</v>
      </c>
      <c r="M72" s="11">
        <v>424398</v>
      </c>
      <c r="N72" s="3">
        <v>6</v>
      </c>
      <c r="O72" s="11">
        <f>jewels[[#This Row],[Cost ]]*jewels[[#This Row],[Sales_Qty]]</f>
        <v>1818848.5714285714</v>
      </c>
      <c r="P72" s="11">
        <v>2546388</v>
      </c>
      <c r="Q72" s="11">
        <f>jewels[[#This Row],[Total Sales Value]]-jewels[[#This Row],[Cost Per Unit]]</f>
        <v>727539.42857142864</v>
      </c>
      <c r="R72" s="13">
        <f>jewels[[#This Row],[Profit]]/jewels[[#This Row],[Cost Per Unit]]</f>
        <v>0.40000000000000008</v>
      </c>
    </row>
    <row r="73" spans="1:18" x14ac:dyDescent="0.25">
      <c r="A73" s="3">
        <v>72</v>
      </c>
      <c r="B73" s="4">
        <v>45284</v>
      </c>
      <c r="C73" s="3">
        <v>2023</v>
      </c>
      <c r="D73" s="3">
        <v>12</v>
      </c>
      <c r="E73" s="5" t="s">
        <v>37</v>
      </c>
      <c r="F73" s="3">
        <v>323</v>
      </c>
      <c r="G73" s="5" t="s">
        <v>46</v>
      </c>
      <c r="H73" s="5" t="s">
        <v>35</v>
      </c>
      <c r="I73" s="5" t="s">
        <v>29</v>
      </c>
      <c r="J73" s="5" t="s">
        <v>23</v>
      </c>
      <c r="K73" s="3">
        <v>76</v>
      </c>
      <c r="L73" s="11">
        <f>jewels[[#This Row],[Unit Price]]/(1+40%)</f>
        <v>2676724.2857142859</v>
      </c>
      <c r="M73" s="11">
        <v>3747414</v>
      </c>
      <c r="N73" s="3">
        <v>7</v>
      </c>
      <c r="O73" s="11">
        <f>jewels[[#This Row],[Cost ]]*jewels[[#This Row],[Sales_Qty]]</f>
        <v>18737070</v>
      </c>
      <c r="P73" s="11">
        <v>26231898</v>
      </c>
      <c r="Q73" s="11">
        <f>jewels[[#This Row],[Total Sales Value]]-jewels[[#This Row],[Cost Per Unit]]</f>
        <v>7494828</v>
      </c>
      <c r="R73" s="13">
        <f>jewels[[#This Row],[Profit]]/jewels[[#This Row],[Cost Per Unit]]</f>
        <v>0.4</v>
      </c>
    </row>
    <row r="74" spans="1:18" x14ac:dyDescent="0.25">
      <c r="A74" s="3">
        <v>73</v>
      </c>
      <c r="B74" s="4">
        <v>44751</v>
      </c>
      <c r="C74" s="3">
        <v>2022</v>
      </c>
      <c r="D74" s="3">
        <v>7</v>
      </c>
      <c r="E74" s="5" t="s">
        <v>49</v>
      </c>
      <c r="F74" s="3">
        <v>357</v>
      </c>
      <c r="G74" s="5" t="s">
        <v>25</v>
      </c>
      <c r="H74" s="5" t="s">
        <v>26</v>
      </c>
      <c r="I74" s="5" t="s">
        <v>17</v>
      </c>
      <c r="J74" s="5" t="s">
        <v>32</v>
      </c>
      <c r="K74" s="3">
        <v>95</v>
      </c>
      <c r="L74" s="11">
        <f>jewels[[#This Row],[Unit Price]]/(1+40%)</f>
        <v>4789064.2857142864</v>
      </c>
      <c r="M74" s="11">
        <v>6704690</v>
      </c>
      <c r="N74" s="3">
        <v>3</v>
      </c>
      <c r="O74" s="11">
        <f>jewels[[#This Row],[Cost ]]*jewels[[#This Row],[Sales_Qty]]</f>
        <v>14367192.857142858</v>
      </c>
      <c r="P74" s="11">
        <v>20114070</v>
      </c>
      <c r="Q74" s="11">
        <f>jewels[[#This Row],[Total Sales Value]]-jewels[[#This Row],[Cost Per Unit]]</f>
        <v>5746877.1428571418</v>
      </c>
      <c r="R74" s="13">
        <f>jewels[[#This Row],[Profit]]/jewels[[#This Row],[Cost Per Unit]]</f>
        <v>0.39999999999999991</v>
      </c>
    </row>
    <row r="75" spans="1:18" x14ac:dyDescent="0.25">
      <c r="A75" s="3">
        <v>74</v>
      </c>
      <c r="B75" s="4">
        <v>44839</v>
      </c>
      <c r="C75" s="3">
        <v>2022</v>
      </c>
      <c r="D75" s="3">
        <v>10</v>
      </c>
      <c r="E75" s="5" t="s">
        <v>61</v>
      </c>
      <c r="F75" s="3">
        <v>124</v>
      </c>
      <c r="G75" s="5" t="s">
        <v>34</v>
      </c>
      <c r="H75" s="5" t="s">
        <v>35</v>
      </c>
      <c r="I75" s="5" t="s">
        <v>40</v>
      </c>
      <c r="J75" s="5" t="s">
        <v>47</v>
      </c>
      <c r="K75" s="3">
        <v>57</v>
      </c>
      <c r="L75" s="11">
        <f>jewels[[#This Row],[Unit Price]]/(1+40%)</f>
        <v>4830215</v>
      </c>
      <c r="M75" s="11">
        <v>6762301</v>
      </c>
      <c r="N75" s="3">
        <v>5</v>
      </c>
      <c r="O75" s="11">
        <f>jewels[[#This Row],[Cost ]]*jewels[[#This Row],[Sales_Qty]]</f>
        <v>24151075</v>
      </c>
      <c r="P75" s="11">
        <v>33811505</v>
      </c>
      <c r="Q75" s="11">
        <f>jewels[[#This Row],[Total Sales Value]]-jewels[[#This Row],[Cost Per Unit]]</f>
        <v>9660430</v>
      </c>
      <c r="R75" s="13">
        <f>jewels[[#This Row],[Profit]]/jewels[[#This Row],[Cost Per Unit]]</f>
        <v>0.4</v>
      </c>
    </row>
    <row r="76" spans="1:18" x14ac:dyDescent="0.25">
      <c r="A76" s="3">
        <v>75</v>
      </c>
      <c r="B76" s="4">
        <v>44057</v>
      </c>
      <c r="C76" s="3">
        <v>2020</v>
      </c>
      <c r="D76" s="3">
        <v>8</v>
      </c>
      <c r="E76" s="5" t="s">
        <v>51</v>
      </c>
      <c r="F76" s="3">
        <v>362</v>
      </c>
      <c r="G76" s="5" t="s">
        <v>60</v>
      </c>
      <c r="H76" s="5" t="s">
        <v>16</v>
      </c>
      <c r="I76" s="5" t="s">
        <v>17</v>
      </c>
      <c r="J76" s="5" t="s">
        <v>47</v>
      </c>
      <c r="K76" s="3">
        <v>51</v>
      </c>
      <c r="L76" s="11">
        <f>jewels[[#This Row],[Unit Price]]/(1+40%)</f>
        <v>2249064.2857142859</v>
      </c>
      <c r="M76" s="11">
        <v>3148690</v>
      </c>
      <c r="N76" s="3">
        <v>4</v>
      </c>
      <c r="O76" s="11">
        <f>jewels[[#This Row],[Cost ]]*jewels[[#This Row],[Sales_Qty]]</f>
        <v>8996257.1428571437</v>
      </c>
      <c r="P76" s="11">
        <v>12594760</v>
      </c>
      <c r="Q76" s="11">
        <f>jewels[[#This Row],[Total Sales Value]]-jewels[[#This Row],[Cost Per Unit]]</f>
        <v>3598502.8571428563</v>
      </c>
      <c r="R76" s="13">
        <f>jewels[[#This Row],[Profit]]/jewels[[#This Row],[Cost Per Unit]]</f>
        <v>0.39999999999999986</v>
      </c>
    </row>
    <row r="77" spans="1:18" x14ac:dyDescent="0.25">
      <c r="A77" s="3">
        <v>76</v>
      </c>
      <c r="B77" s="4">
        <v>44693</v>
      </c>
      <c r="C77" s="3">
        <v>2022</v>
      </c>
      <c r="D77" s="3">
        <v>5</v>
      </c>
      <c r="E77" s="5" t="s">
        <v>53</v>
      </c>
      <c r="F77" s="3">
        <v>160</v>
      </c>
      <c r="G77" s="5" t="s">
        <v>34</v>
      </c>
      <c r="H77" s="5" t="s">
        <v>35</v>
      </c>
      <c r="I77" s="5" t="s">
        <v>22</v>
      </c>
      <c r="J77" s="5" t="s">
        <v>50</v>
      </c>
      <c r="K77" s="3">
        <v>72</v>
      </c>
      <c r="L77" s="11">
        <f>jewels[[#This Row],[Unit Price]]/(1+40%)</f>
        <v>4840670.7142857146</v>
      </c>
      <c r="M77" s="11">
        <v>6776939</v>
      </c>
      <c r="N77" s="3">
        <v>9</v>
      </c>
      <c r="O77" s="11">
        <f>jewels[[#This Row],[Cost ]]*jewels[[#This Row],[Sales_Qty]]</f>
        <v>43566036.428571433</v>
      </c>
      <c r="P77" s="11">
        <v>60992451</v>
      </c>
      <c r="Q77" s="11">
        <f>jewels[[#This Row],[Total Sales Value]]-jewels[[#This Row],[Cost Per Unit]]</f>
        <v>17426414.571428567</v>
      </c>
      <c r="R77" s="13">
        <f>jewels[[#This Row],[Profit]]/jewels[[#This Row],[Cost Per Unit]]</f>
        <v>0.39999999999999986</v>
      </c>
    </row>
    <row r="78" spans="1:18" x14ac:dyDescent="0.25">
      <c r="A78" s="3">
        <v>77</v>
      </c>
      <c r="B78" s="4">
        <v>45100</v>
      </c>
      <c r="C78" s="3">
        <v>2023</v>
      </c>
      <c r="D78" s="3">
        <v>6</v>
      </c>
      <c r="E78" s="5" t="s">
        <v>14</v>
      </c>
      <c r="F78" s="3">
        <v>185</v>
      </c>
      <c r="G78" s="5" t="s">
        <v>64</v>
      </c>
      <c r="H78" s="5" t="s">
        <v>26</v>
      </c>
      <c r="I78" s="5" t="s">
        <v>22</v>
      </c>
      <c r="J78" s="5" t="s">
        <v>32</v>
      </c>
      <c r="K78" s="3">
        <v>76</v>
      </c>
      <c r="L78" s="11">
        <f>jewels[[#This Row],[Unit Price]]/(1+40%)</f>
        <v>1572931.4285714286</v>
      </c>
      <c r="M78" s="11">
        <v>2202104</v>
      </c>
      <c r="N78" s="3">
        <v>1</v>
      </c>
      <c r="O78" s="11">
        <f>jewels[[#This Row],[Cost ]]*jewels[[#This Row],[Sales_Qty]]</f>
        <v>1572931.4285714286</v>
      </c>
      <c r="P78" s="11">
        <v>2202104</v>
      </c>
      <c r="Q78" s="11">
        <f>jewels[[#This Row],[Total Sales Value]]-jewels[[#This Row],[Cost Per Unit]]</f>
        <v>629172.57142857136</v>
      </c>
      <c r="R78" s="13">
        <f>jewels[[#This Row],[Profit]]/jewels[[#This Row],[Cost Per Unit]]</f>
        <v>0.39999999999999997</v>
      </c>
    </row>
    <row r="79" spans="1:18" x14ac:dyDescent="0.25">
      <c r="A79" s="3">
        <v>78</v>
      </c>
      <c r="B79" s="4">
        <v>45090</v>
      </c>
      <c r="C79" s="3">
        <v>2023</v>
      </c>
      <c r="D79" s="3">
        <v>6</v>
      </c>
      <c r="E79" s="5" t="s">
        <v>14</v>
      </c>
      <c r="F79" s="3">
        <v>257</v>
      </c>
      <c r="G79" s="5" t="s">
        <v>31</v>
      </c>
      <c r="H79" s="5" t="s">
        <v>26</v>
      </c>
      <c r="I79" s="5" t="s">
        <v>17</v>
      </c>
      <c r="J79" s="5" t="s">
        <v>47</v>
      </c>
      <c r="K79" s="3">
        <v>100</v>
      </c>
      <c r="L79" s="11">
        <f>jewels[[#This Row],[Unit Price]]/(1+40%)</f>
        <v>5741555</v>
      </c>
      <c r="M79" s="11">
        <v>8038177</v>
      </c>
      <c r="N79" s="3">
        <v>10</v>
      </c>
      <c r="O79" s="11">
        <f>jewels[[#This Row],[Cost ]]*jewels[[#This Row],[Sales_Qty]]</f>
        <v>57415550</v>
      </c>
      <c r="P79" s="11">
        <v>80381770</v>
      </c>
      <c r="Q79" s="11">
        <f>jewels[[#This Row],[Total Sales Value]]-jewels[[#This Row],[Cost Per Unit]]</f>
        <v>22966220</v>
      </c>
      <c r="R79" s="13">
        <f>jewels[[#This Row],[Profit]]/jewels[[#This Row],[Cost Per Unit]]</f>
        <v>0.4</v>
      </c>
    </row>
    <row r="80" spans="1:18" x14ac:dyDescent="0.25">
      <c r="A80" s="3">
        <v>79</v>
      </c>
      <c r="B80" s="4">
        <v>44577</v>
      </c>
      <c r="C80" s="3">
        <v>2022</v>
      </c>
      <c r="D80" s="3">
        <v>1</v>
      </c>
      <c r="E80" s="5" t="s">
        <v>41</v>
      </c>
      <c r="F80" s="3">
        <v>325</v>
      </c>
      <c r="G80" s="5" t="s">
        <v>65</v>
      </c>
      <c r="H80" s="5" t="s">
        <v>56</v>
      </c>
      <c r="I80" s="5" t="s">
        <v>29</v>
      </c>
      <c r="J80" s="5" t="s">
        <v>23</v>
      </c>
      <c r="K80" s="3">
        <v>52</v>
      </c>
      <c r="L80" s="11">
        <f>jewels[[#This Row],[Unit Price]]/(1+40%)</f>
        <v>1408835</v>
      </c>
      <c r="M80" s="11">
        <v>1972369</v>
      </c>
      <c r="N80" s="3">
        <v>3</v>
      </c>
      <c r="O80" s="11">
        <f>jewels[[#This Row],[Cost ]]*jewels[[#This Row],[Sales_Qty]]</f>
        <v>4226505</v>
      </c>
      <c r="P80" s="11">
        <v>5917107</v>
      </c>
      <c r="Q80" s="11">
        <f>jewels[[#This Row],[Total Sales Value]]-jewels[[#This Row],[Cost Per Unit]]</f>
        <v>1690602</v>
      </c>
      <c r="R80" s="13">
        <f>jewels[[#This Row],[Profit]]/jewels[[#This Row],[Cost Per Unit]]</f>
        <v>0.4</v>
      </c>
    </row>
    <row r="81" spans="1:18" x14ac:dyDescent="0.25">
      <c r="A81" s="3">
        <v>80</v>
      </c>
      <c r="B81" s="4">
        <v>44569</v>
      </c>
      <c r="C81" s="3">
        <v>2022</v>
      </c>
      <c r="D81" s="3">
        <v>1</v>
      </c>
      <c r="E81" s="5" t="s">
        <v>41</v>
      </c>
      <c r="F81" s="3">
        <v>15</v>
      </c>
      <c r="G81" s="5" t="s">
        <v>20</v>
      </c>
      <c r="H81" s="5" t="s">
        <v>21</v>
      </c>
      <c r="I81" s="5" t="s">
        <v>17</v>
      </c>
      <c r="J81" s="5" t="s">
        <v>50</v>
      </c>
      <c r="K81" s="3">
        <v>74</v>
      </c>
      <c r="L81" s="11">
        <f>jewels[[#This Row],[Unit Price]]/(1+40%)</f>
        <v>999855.00000000012</v>
      </c>
      <c r="M81" s="11">
        <v>1399797</v>
      </c>
      <c r="N81" s="3">
        <v>5</v>
      </c>
      <c r="O81" s="11">
        <f>jewels[[#This Row],[Cost ]]*jewels[[#This Row],[Sales_Qty]]</f>
        <v>4999275.0000000009</v>
      </c>
      <c r="P81" s="11">
        <v>6998985</v>
      </c>
      <c r="Q81" s="11">
        <f>jewels[[#This Row],[Total Sales Value]]-jewels[[#This Row],[Cost Per Unit]]</f>
        <v>1999709.9999999991</v>
      </c>
      <c r="R81" s="13">
        <f>jewels[[#This Row],[Profit]]/jewels[[#This Row],[Cost Per Unit]]</f>
        <v>0.39999999999999974</v>
      </c>
    </row>
    <row r="82" spans="1:18" x14ac:dyDescent="0.25">
      <c r="A82" s="3">
        <v>81</v>
      </c>
      <c r="B82" s="4">
        <v>44242</v>
      </c>
      <c r="C82" s="3">
        <v>2021</v>
      </c>
      <c r="D82" s="3">
        <v>2</v>
      </c>
      <c r="E82" s="5" t="s">
        <v>19</v>
      </c>
      <c r="F82" s="3">
        <v>50</v>
      </c>
      <c r="G82" s="5" t="s">
        <v>25</v>
      </c>
      <c r="H82" s="5" t="s">
        <v>26</v>
      </c>
      <c r="I82" s="5" t="s">
        <v>22</v>
      </c>
      <c r="J82" s="5" t="s">
        <v>23</v>
      </c>
      <c r="K82" s="3">
        <v>74</v>
      </c>
      <c r="L82" s="11">
        <f>jewels[[#This Row],[Unit Price]]/(1+40%)</f>
        <v>6444332.8571428573</v>
      </c>
      <c r="M82" s="11">
        <v>9022066</v>
      </c>
      <c r="N82" s="3">
        <v>10</v>
      </c>
      <c r="O82" s="11">
        <f>jewels[[#This Row],[Cost ]]*jewels[[#This Row],[Sales_Qty]]</f>
        <v>64443328.571428575</v>
      </c>
      <c r="P82" s="11">
        <v>90220660</v>
      </c>
      <c r="Q82" s="11">
        <f>jewels[[#This Row],[Total Sales Value]]-jewels[[#This Row],[Cost Per Unit]]</f>
        <v>25777331.428571425</v>
      </c>
      <c r="R82" s="13">
        <f>jewels[[#This Row],[Profit]]/jewels[[#This Row],[Cost Per Unit]]</f>
        <v>0.39999999999999991</v>
      </c>
    </row>
    <row r="83" spans="1:18" x14ac:dyDescent="0.25">
      <c r="A83" s="3">
        <v>82</v>
      </c>
      <c r="B83" s="4">
        <v>44151</v>
      </c>
      <c r="C83" s="3">
        <v>2020</v>
      </c>
      <c r="D83" s="3">
        <v>11</v>
      </c>
      <c r="E83" s="5" t="s">
        <v>58</v>
      </c>
      <c r="F83" s="3">
        <v>347</v>
      </c>
      <c r="G83" s="5" t="s">
        <v>52</v>
      </c>
      <c r="H83" s="5" t="s">
        <v>21</v>
      </c>
      <c r="I83" s="5" t="s">
        <v>40</v>
      </c>
      <c r="J83" s="5" t="s">
        <v>45</v>
      </c>
      <c r="K83" s="3">
        <v>62</v>
      </c>
      <c r="L83" s="11">
        <f>jewels[[#This Row],[Unit Price]]/(1+40%)</f>
        <v>4272722.8571428573</v>
      </c>
      <c r="M83" s="11">
        <v>5981812</v>
      </c>
      <c r="N83" s="3">
        <v>10</v>
      </c>
      <c r="O83" s="11">
        <f>jewels[[#This Row],[Cost ]]*jewels[[#This Row],[Sales_Qty]]</f>
        <v>42727228.571428575</v>
      </c>
      <c r="P83" s="11">
        <v>59818120</v>
      </c>
      <c r="Q83" s="11">
        <f>jewels[[#This Row],[Total Sales Value]]-jewels[[#This Row],[Cost Per Unit]]</f>
        <v>17090891.428571425</v>
      </c>
      <c r="R83" s="13">
        <f>jewels[[#This Row],[Profit]]/jewels[[#This Row],[Cost Per Unit]]</f>
        <v>0.39999999999999991</v>
      </c>
    </row>
    <row r="84" spans="1:18" x14ac:dyDescent="0.25">
      <c r="A84" s="3">
        <v>83</v>
      </c>
      <c r="B84" s="4">
        <v>44031</v>
      </c>
      <c r="C84" s="3">
        <v>2020</v>
      </c>
      <c r="D84" s="3">
        <v>7</v>
      </c>
      <c r="E84" s="5" t="s">
        <v>49</v>
      </c>
      <c r="F84" s="3">
        <v>209</v>
      </c>
      <c r="G84" s="5" t="s">
        <v>52</v>
      </c>
      <c r="H84" s="5" t="s">
        <v>21</v>
      </c>
      <c r="I84" s="5" t="s">
        <v>40</v>
      </c>
      <c r="J84" s="5" t="s">
        <v>47</v>
      </c>
      <c r="K84" s="3">
        <v>54</v>
      </c>
      <c r="L84" s="11">
        <f>jewels[[#This Row],[Unit Price]]/(1+40%)</f>
        <v>390865.71428571432</v>
      </c>
      <c r="M84" s="11">
        <v>547212</v>
      </c>
      <c r="N84" s="3">
        <v>3</v>
      </c>
      <c r="O84" s="11">
        <f>jewels[[#This Row],[Cost ]]*jewels[[#This Row],[Sales_Qty]]</f>
        <v>1172597.142857143</v>
      </c>
      <c r="P84" s="11">
        <v>1641636</v>
      </c>
      <c r="Q84" s="11">
        <f>jewels[[#This Row],[Total Sales Value]]-jewels[[#This Row],[Cost Per Unit]]</f>
        <v>469038.85714285704</v>
      </c>
      <c r="R84" s="13">
        <f>jewels[[#This Row],[Profit]]/jewels[[#This Row],[Cost Per Unit]]</f>
        <v>0.39999999999999986</v>
      </c>
    </row>
    <row r="85" spans="1:18" x14ac:dyDescent="0.25">
      <c r="A85" s="3">
        <v>84</v>
      </c>
      <c r="B85" s="4">
        <v>44719</v>
      </c>
      <c r="C85" s="3">
        <v>2022</v>
      </c>
      <c r="D85" s="3">
        <v>6</v>
      </c>
      <c r="E85" s="5" t="s">
        <v>14</v>
      </c>
      <c r="F85" s="3">
        <v>319</v>
      </c>
      <c r="G85" s="5" t="s">
        <v>34</v>
      </c>
      <c r="H85" s="5" t="s">
        <v>35</v>
      </c>
      <c r="I85" s="5" t="s">
        <v>39</v>
      </c>
      <c r="J85" s="5" t="s">
        <v>44</v>
      </c>
      <c r="K85" s="3">
        <v>93</v>
      </c>
      <c r="L85" s="11">
        <f>jewels[[#This Row],[Unit Price]]/(1+40%)</f>
        <v>4565448.5714285718</v>
      </c>
      <c r="M85" s="11">
        <v>6391628</v>
      </c>
      <c r="N85" s="3">
        <v>9</v>
      </c>
      <c r="O85" s="11">
        <f>jewels[[#This Row],[Cost ]]*jewels[[#This Row],[Sales_Qty]]</f>
        <v>41089037.142857149</v>
      </c>
      <c r="P85" s="11">
        <v>57524652</v>
      </c>
      <c r="Q85" s="11">
        <f>jewels[[#This Row],[Total Sales Value]]-jewels[[#This Row],[Cost Per Unit]]</f>
        <v>16435614.857142851</v>
      </c>
      <c r="R85" s="13">
        <f>jewels[[#This Row],[Profit]]/jewels[[#This Row],[Cost Per Unit]]</f>
        <v>0.3999999999999998</v>
      </c>
    </row>
    <row r="86" spans="1:18" x14ac:dyDescent="0.25">
      <c r="A86" s="3">
        <v>85</v>
      </c>
      <c r="B86" s="4">
        <v>44598</v>
      </c>
      <c r="C86" s="3">
        <v>2022</v>
      </c>
      <c r="D86" s="3">
        <v>2</v>
      </c>
      <c r="E86" s="5" t="s">
        <v>19</v>
      </c>
      <c r="F86" s="3">
        <v>327</v>
      </c>
      <c r="G86" s="5" t="s">
        <v>42</v>
      </c>
      <c r="H86" s="5" t="s">
        <v>26</v>
      </c>
      <c r="I86" s="5" t="s">
        <v>39</v>
      </c>
      <c r="J86" s="5" t="s">
        <v>23</v>
      </c>
      <c r="K86" s="3">
        <v>93</v>
      </c>
      <c r="L86" s="11">
        <f>jewels[[#This Row],[Unit Price]]/(1+40%)</f>
        <v>5154437.1428571427</v>
      </c>
      <c r="M86" s="11">
        <v>7216212</v>
      </c>
      <c r="N86" s="3">
        <v>2</v>
      </c>
      <c r="O86" s="11">
        <f>jewels[[#This Row],[Cost ]]*jewels[[#This Row],[Sales_Qty]]</f>
        <v>10308874.285714285</v>
      </c>
      <c r="P86" s="11">
        <v>14432424</v>
      </c>
      <c r="Q86" s="11">
        <f>jewels[[#This Row],[Total Sales Value]]-jewels[[#This Row],[Cost Per Unit]]</f>
        <v>4123549.7142857146</v>
      </c>
      <c r="R86" s="13">
        <f>jewels[[#This Row],[Profit]]/jewels[[#This Row],[Cost Per Unit]]</f>
        <v>0.4</v>
      </c>
    </row>
    <row r="87" spans="1:18" x14ac:dyDescent="0.25">
      <c r="A87" s="3">
        <v>86</v>
      </c>
      <c r="B87" s="4">
        <v>44012</v>
      </c>
      <c r="C87" s="3">
        <v>2020</v>
      </c>
      <c r="D87" s="3">
        <v>6</v>
      </c>
      <c r="E87" s="5" t="s">
        <v>14</v>
      </c>
      <c r="F87" s="3">
        <v>127</v>
      </c>
      <c r="G87" s="5" t="s">
        <v>48</v>
      </c>
      <c r="H87" s="5" t="s">
        <v>16</v>
      </c>
      <c r="I87" s="5" t="s">
        <v>29</v>
      </c>
      <c r="J87" s="5" t="s">
        <v>28</v>
      </c>
      <c r="K87" s="3">
        <v>53</v>
      </c>
      <c r="L87" s="11">
        <f>jewels[[#This Row],[Unit Price]]/(1+40%)</f>
        <v>1353587.142857143</v>
      </c>
      <c r="M87" s="11">
        <v>1895022</v>
      </c>
      <c r="N87" s="3">
        <v>5</v>
      </c>
      <c r="O87" s="11">
        <f>jewels[[#This Row],[Cost ]]*jewels[[#This Row],[Sales_Qty]]</f>
        <v>6767935.7142857146</v>
      </c>
      <c r="P87" s="11">
        <v>9475110</v>
      </c>
      <c r="Q87" s="11">
        <f>jewels[[#This Row],[Total Sales Value]]-jewels[[#This Row],[Cost Per Unit]]</f>
        <v>2707174.2857142854</v>
      </c>
      <c r="R87" s="13">
        <f>jewels[[#This Row],[Profit]]/jewels[[#This Row],[Cost Per Unit]]</f>
        <v>0.39999999999999997</v>
      </c>
    </row>
    <row r="88" spans="1:18" x14ac:dyDescent="0.25">
      <c r="A88" s="3">
        <v>87</v>
      </c>
      <c r="B88" s="4">
        <v>44164</v>
      </c>
      <c r="C88" s="3">
        <v>2020</v>
      </c>
      <c r="D88" s="3">
        <v>11</v>
      </c>
      <c r="E88" s="5" t="s">
        <v>58</v>
      </c>
      <c r="F88" s="3">
        <v>62</v>
      </c>
      <c r="G88" s="5" t="s">
        <v>42</v>
      </c>
      <c r="H88" s="5" t="s">
        <v>26</v>
      </c>
      <c r="I88" s="5" t="s">
        <v>17</v>
      </c>
      <c r="J88" s="5" t="s">
        <v>50</v>
      </c>
      <c r="K88" s="3">
        <v>83</v>
      </c>
      <c r="L88" s="11">
        <f>jewels[[#This Row],[Unit Price]]/(1+40%)</f>
        <v>599315.71428571432</v>
      </c>
      <c r="M88" s="11">
        <v>839042</v>
      </c>
      <c r="N88" s="3">
        <v>4</v>
      </c>
      <c r="O88" s="11">
        <f>jewels[[#This Row],[Cost ]]*jewels[[#This Row],[Sales_Qty]]</f>
        <v>2397262.8571428573</v>
      </c>
      <c r="P88" s="11">
        <v>3356168</v>
      </c>
      <c r="Q88" s="11">
        <f>jewels[[#This Row],[Total Sales Value]]-jewels[[#This Row],[Cost Per Unit]]</f>
        <v>958905.14285714272</v>
      </c>
      <c r="R88" s="13">
        <f>jewels[[#This Row],[Profit]]/jewels[[#This Row],[Cost Per Unit]]</f>
        <v>0.39999999999999991</v>
      </c>
    </row>
    <row r="89" spans="1:18" x14ac:dyDescent="0.25">
      <c r="A89" s="3">
        <v>88</v>
      </c>
      <c r="B89" s="4">
        <v>44693</v>
      </c>
      <c r="C89" s="3">
        <v>2022</v>
      </c>
      <c r="D89" s="3">
        <v>5</v>
      </c>
      <c r="E89" s="5" t="s">
        <v>53</v>
      </c>
      <c r="F89" s="3">
        <v>10</v>
      </c>
      <c r="G89" s="5" t="s">
        <v>65</v>
      </c>
      <c r="H89" s="5" t="s">
        <v>56</v>
      </c>
      <c r="I89" s="5" t="s">
        <v>17</v>
      </c>
      <c r="J89" s="5" t="s">
        <v>50</v>
      </c>
      <c r="K89" s="3">
        <v>74</v>
      </c>
      <c r="L89" s="11">
        <f>jewels[[#This Row],[Unit Price]]/(1+40%)</f>
        <v>520147.85714285716</v>
      </c>
      <c r="M89" s="11">
        <v>728207</v>
      </c>
      <c r="N89" s="3">
        <v>9</v>
      </c>
      <c r="O89" s="11">
        <f>jewels[[#This Row],[Cost ]]*jewels[[#This Row],[Sales_Qty]]</f>
        <v>4681330.7142857146</v>
      </c>
      <c r="P89" s="11">
        <v>6553863</v>
      </c>
      <c r="Q89" s="11">
        <f>jewels[[#This Row],[Total Sales Value]]-jewels[[#This Row],[Cost Per Unit]]</f>
        <v>1872532.2857142854</v>
      </c>
      <c r="R89" s="13">
        <f>jewels[[#This Row],[Profit]]/jewels[[#This Row],[Cost Per Unit]]</f>
        <v>0.39999999999999991</v>
      </c>
    </row>
    <row r="90" spans="1:18" x14ac:dyDescent="0.25">
      <c r="A90" s="3">
        <v>89</v>
      </c>
      <c r="B90" s="4">
        <v>44685</v>
      </c>
      <c r="C90" s="3">
        <v>2022</v>
      </c>
      <c r="D90" s="3">
        <v>5</v>
      </c>
      <c r="E90" s="5" t="s">
        <v>53</v>
      </c>
      <c r="F90" s="3">
        <v>453</v>
      </c>
      <c r="G90" s="5" t="s">
        <v>36</v>
      </c>
      <c r="H90" s="5" t="s">
        <v>16</v>
      </c>
      <c r="I90" s="5" t="s">
        <v>17</v>
      </c>
      <c r="J90" s="5" t="s">
        <v>45</v>
      </c>
      <c r="K90" s="3">
        <v>57</v>
      </c>
      <c r="L90" s="11">
        <f>jewels[[#This Row],[Unit Price]]/(1+40%)</f>
        <v>6688345</v>
      </c>
      <c r="M90" s="11">
        <v>9363683</v>
      </c>
      <c r="N90" s="3">
        <v>2</v>
      </c>
      <c r="O90" s="11">
        <f>jewels[[#This Row],[Cost ]]*jewels[[#This Row],[Sales_Qty]]</f>
        <v>13376690</v>
      </c>
      <c r="P90" s="11">
        <v>18727366</v>
      </c>
      <c r="Q90" s="11">
        <f>jewels[[#This Row],[Total Sales Value]]-jewels[[#This Row],[Cost Per Unit]]</f>
        <v>5350676</v>
      </c>
      <c r="R90" s="13">
        <f>jewels[[#This Row],[Profit]]/jewels[[#This Row],[Cost Per Unit]]</f>
        <v>0.4</v>
      </c>
    </row>
    <row r="91" spans="1:18" x14ac:dyDescent="0.25">
      <c r="A91" s="3">
        <v>90</v>
      </c>
      <c r="B91" s="4">
        <v>44386</v>
      </c>
      <c r="C91" s="3">
        <v>2021</v>
      </c>
      <c r="D91" s="3">
        <v>7</v>
      </c>
      <c r="E91" s="5" t="s">
        <v>49</v>
      </c>
      <c r="F91" s="3">
        <v>428</v>
      </c>
      <c r="G91" s="5" t="s">
        <v>48</v>
      </c>
      <c r="H91" s="5" t="s">
        <v>16</v>
      </c>
      <c r="I91" s="5" t="s">
        <v>29</v>
      </c>
      <c r="J91" s="5" t="s">
        <v>28</v>
      </c>
      <c r="K91" s="3">
        <v>78</v>
      </c>
      <c r="L91" s="11">
        <f>jewels[[#This Row],[Unit Price]]/(1+40%)</f>
        <v>4453600.7142857146</v>
      </c>
      <c r="M91" s="11">
        <v>6235041</v>
      </c>
      <c r="N91" s="3">
        <v>6</v>
      </c>
      <c r="O91" s="11">
        <f>jewels[[#This Row],[Cost ]]*jewels[[#This Row],[Sales_Qty]]</f>
        <v>26721604.285714287</v>
      </c>
      <c r="P91" s="11">
        <v>37410246</v>
      </c>
      <c r="Q91" s="11">
        <f>jewels[[#This Row],[Total Sales Value]]-jewels[[#This Row],[Cost Per Unit]]</f>
        <v>10688641.714285713</v>
      </c>
      <c r="R91" s="13">
        <f>jewels[[#This Row],[Profit]]/jewels[[#This Row],[Cost Per Unit]]</f>
        <v>0.39999999999999991</v>
      </c>
    </row>
    <row r="92" spans="1:18" x14ac:dyDescent="0.25">
      <c r="A92" s="3">
        <v>91</v>
      </c>
      <c r="B92" s="4">
        <v>44899</v>
      </c>
      <c r="C92" s="3">
        <v>2022</v>
      </c>
      <c r="D92" s="3">
        <v>12</v>
      </c>
      <c r="E92" s="5" t="s">
        <v>37</v>
      </c>
      <c r="F92" s="3">
        <v>488</v>
      </c>
      <c r="G92" s="5" t="s">
        <v>34</v>
      </c>
      <c r="H92" s="5" t="s">
        <v>35</v>
      </c>
      <c r="I92" s="5" t="s">
        <v>39</v>
      </c>
      <c r="J92" s="5" t="s">
        <v>32</v>
      </c>
      <c r="K92" s="3">
        <v>80</v>
      </c>
      <c r="L92" s="11">
        <f>jewels[[#This Row],[Unit Price]]/(1+40%)</f>
        <v>5163604.2857142864</v>
      </c>
      <c r="M92" s="11">
        <v>7229046</v>
      </c>
      <c r="N92" s="3">
        <v>8</v>
      </c>
      <c r="O92" s="11">
        <f>jewels[[#This Row],[Cost ]]*jewels[[#This Row],[Sales_Qty]]</f>
        <v>41308834.285714291</v>
      </c>
      <c r="P92" s="11">
        <v>57832368</v>
      </c>
      <c r="Q92" s="11">
        <f>jewels[[#This Row],[Total Sales Value]]-jewels[[#This Row],[Cost Per Unit]]</f>
        <v>16523533.714285709</v>
      </c>
      <c r="R92" s="13">
        <f>jewels[[#This Row],[Profit]]/jewels[[#This Row],[Cost Per Unit]]</f>
        <v>0.3999999999999998</v>
      </c>
    </row>
    <row r="93" spans="1:18" x14ac:dyDescent="0.25">
      <c r="A93" s="3">
        <v>92</v>
      </c>
      <c r="B93" s="4">
        <v>44208</v>
      </c>
      <c r="C93" s="3">
        <v>2021</v>
      </c>
      <c r="D93" s="3">
        <v>1</v>
      </c>
      <c r="E93" s="5" t="s">
        <v>41</v>
      </c>
      <c r="F93" s="3">
        <v>354</v>
      </c>
      <c r="G93" s="5" t="s">
        <v>36</v>
      </c>
      <c r="H93" s="5" t="s">
        <v>16</v>
      </c>
      <c r="I93" s="5" t="s">
        <v>39</v>
      </c>
      <c r="J93" s="5" t="s">
        <v>45</v>
      </c>
      <c r="K93" s="3">
        <v>71</v>
      </c>
      <c r="L93" s="11">
        <f>jewels[[#This Row],[Unit Price]]/(1+40%)</f>
        <v>1599783.5714285716</v>
      </c>
      <c r="M93" s="11">
        <v>2239697</v>
      </c>
      <c r="N93" s="3">
        <v>10</v>
      </c>
      <c r="O93" s="11">
        <f>jewels[[#This Row],[Cost ]]*jewels[[#This Row],[Sales_Qty]]</f>
        <v>15997835.714285716</v>
      </c>
      <c r="P93" s="11">
        <v>22396970</v>
      </c>
      <c r="Q93" s="11">
        <f>jewels[[#This Row],[Total Sales Value]]-jewels[[#This Row],[Cost Per Unit]]</f>
        <v>6399134.2857142836</v>
      </c>
      <c r="R93" s="13">
        <f>jewels[[#This Row],[Profit]]/jewels[[#This Row],[Cost Per Unit]]</f>
        <v>0.3999999999999998</v>
      </c>
    </row>
    <row r="94" spans="1:18" x14ac:dyDescent="0.25">
      <c r="A94" s="3">
        <v>93</v>
      </c>
      <c r="B94" s="4">
        <v>44345</v>
      </c>
      <c r="C94" s="3">
        <v>2021</v>
      </c>
      <c r="D94" s="3">
        <v>5</v>
      </c>
      <c r="E94" s="5" t="s">
        <v>53</v>
      </c>
      <c r="F94" s="3">
        <v>4</v>
      </c>
      <c r="G94" s="5" t="s">
        <v>59</v>
      </c>
      <c r="H94" s="5" t="s">
        <v>56</v>
      </c>
      <c r="I94" s="5" t="s">
        <v>22</v>
      </c>
      <c r="J94" s="5" t="s">
        <v>44</v>
      </c>
      <c r="K94" s="3">
        <v>60</v>
      </c>
      <c r="L94" s="11">
        <f>jewels[[#This Row],[Unit Price]]/(1+40%)</f>
        <v>6792030</v>
      </c>
      <c r="M94" s="11">
        <v>9508842</v>
      </c>
      <c r="N94" s="3">
        <v>2</v>
      </c>
      <c r="O94" s="11">
        <f>jewels[[#This Row],[Cost ]]*jewels[[#This Row],[Sales_Qty]]</f>
        <v>13584060</v>
      </c>
      <c r="P94" s="11">
        <v>19017684</v>
      </c>
      <c r="Q94" s="11">
        <f>jewels[[#This Row],[Total Sales Value]]-jewels[[#This Row],[Cost Per Unit]]</f>
        <v>5433624</v>
      </c>
      <c r="R94" s="13">
        <f>jewels[[#This Row],[Profit]]/jewels[[#This Row],[Cost Per Unit]]</f>
        <v>0.4</v>
      </c>
    </row>
    <row r="95" spans="1:18" x14ac:dyDescent="0.25">
      <c r="A95" s="3">
        <v>94</v>
      </c>
      <c r="B95" s="4">
        <v>44642</v>
      </c>
      <c r="C95" s="3">
        <v>2022</v>
      </c>
      <c r="D95" s="3">
        <v>3</v>
      </c>
      <c r="E95" s="5" t="s">
        <v>43</v>
      </c>
      <c r="F95" s="3">
        <v>470</v>
      </c>
      <c r="G95" s="5" t="s">
        <v>48</v>
      </c>
      <c r="H95" s="5" t="s">
        <v>16</v>
      </c>
      <c r="I95" s="5" t="s">
        <v>40</v>
      </c>
      <c r="J95" s="5" t="s">
        <v>30</v>
      </c>
      <c r="K95" s="3">
        <v>72</v>
      </c>
      <c r="L95" s="11">
        <f>jewels[[#This Row],[Unit Price]]/(1+40%)</f>
        <v>1552965</v>
      </c>
      <c r="M95" s="11">
        <v>2174151</v>
      </c>
      <c r="N95" s="3">
        <v>1</v>
      </c>
      <c r="O95" s="11">
        <f>jewels[[#This Row],[Cost ]]*jewels[[#This Row],[Sales_Qty]]</f>
        <v>1552965</v>
      </c>
      <c r="P95" s="11">
        <v>2174151</v>
      </c>
      <c r="Q95" s="11">
        <f>jewels[[#This Row],[Total Sales Value]]-jewels[[#This Row],[Cost Per Unit]]</f>
        <v>621186</v>
      </c>
      <c r="R95" s="13">
        <f>jewels[[#This Row],[Profit]]/jewels[[#This Row],[Cost Per Unit]]</f>
        <v>0.4</v>
      </c>
    </row>
    <row r="96" spans="1:18" x14ac:dyDescent="0.25">
      <c r="A96" s="3">
        <v>95</v>
      </c>
      <c r="B96" s="4">
        <v>44444</v>
      </c>
      <c r="C96" s="3">
        <v>2021</v>
      </c>
      <c r="D96" s="3">
        <v>9</v>
      </c>
      <c r="E96" s="5" t="s">
        <v>33</v>
      </c>
      <c r="F96" s="3">
        <v>383</v>
      </c>
      <c r="G96" s="5" t="s">
        <v>42</v>
      </c>
      <c r="H96" s="5" t="s">
        <v>26</v>
      </c>
      <c r="I96" s="5" t="s">
        <v>29</v>
      </c>
      <c r="J96" s="5" t="s">
        <v>50</v>
      </c>
      <c r="K96" s="3">
        <v>96</v>
      </c>
      <c r="L96" s="11">
        <f>jewels[[#This Row],[Unit Price]]/(1+40%)</f>
        <v>5112812.8571428573</v>
      </c>
      <c r="M96" s="11">
        <v>7157938</v>
      </c>
      <c r="N96" s="3">
        <v>5</v>
      </c>
      <c r="O96" s="11">
        <f>jewels[[#This Row],[Cost ]]*jewels[[#This Row],[Sales_Qty]]</f>
        <v>25564064.285714287</v>
      </c>
      <c r="P96" s="11">
        <v>35789690</v>
      </c>
      <c r="Q96" s="11">
        <f>jewels[[#This Row],[Total Sales Value]]-jewels[[#This Row],[Cost Per Unit]]</f>
        <v>10225625.714285713</v>
      </c>
      <c r="R96" s="13">
        <f>jewels[[#This Row],[Profit]]/jewels[[#This Row],[Cost Per Unit]]</f>
        <v>0.39999999999999991</v>
      </c>
    </row>
    <row r="97" spans="1:18" x14ac:dyDescent="0.25">
      <c r="A97" s="3">
        <v>96</v>
      </c>
      <c r="B97" s="4">
        <v>44414</v>
      </c>
      <c r="C97" s="3">
        <v>2021</v>
      </c>
      <c r="D97" s="3">
        <v>8</v>
      </c>
      <c r="E97" s="5" t="s">
        <v>51</v>
      </c>
      <c r="F97" s="3">
        <v>85</v>
      </c>
      <c r="G97" s="5" t="s">
        <v>65</v>
      </c>
      <c r="H97" s="5" t="s">
        <v>56</v>
      </c>
      <c r="I97" s="5" t="s">
        <v>17</v>
      </c>
      <c r="J97" s="5" t="s">
        <v>47</v>
      </c>
      <c r="K97" s="3">
        <v>56</v>
      </c>
      <c r="L97" s="11">
        <f>jewels[[#This Row],[Unit Price]]/(1+40%)</f>
        <v>261432.85714285716</v>
      </c>
      <c r="M97" s="11">
        <v>366006</v>
      </c>
      <c r="N97" s="3">
        <v>2</v>
      </c>
      <c r="O97" s="11">
        <f>jewels[[#This Row],[Cost ]]*jewels[[#This Row],[Sales_Qty]]</f>
        <v>522865.71428571432</v>
      </c>
      <c r="P97" s="11">
        <v>732012</v>
      </c>
      <c r="Q97" s="11">
        <f>jewels[[#This Row],[Total Sales Value]]-jewels[[#This Row],[Cost Per Unit]]</f>
        <v>209146.28571428568</v>
      </c>
      <c r="R97" s="13">
        <f>jewels[[#This Row],[Profit]]/jewels[[#This Row],[Cost Per Unit]]</f>
        <v>0.39999999999999991</v>
      </c>
    </row>
    <row r="98" spans="1:18" x14ac:dyDescent="0.25">
      <c r="A98" s="3">
        <v>97</v>
      </c>
      <c r="B98" s="4">
        <v>44501</v>
      </c>
      <c r="C98" s="3">
        <v>2021</v>
      </c>
      <c r="D98" s="3">
        <v>11</v>
      </c>
      <c r="E98" s="5" t="s">
        <v>58</v>
      </c>
      <c r="F98" s="3">
        <v>431</v>
      </c>
      <c r="G98" s="5" t="s">
        <v>57</v>
      </c>
      <c r="H98" s="5" t="s">
        <v>35</v>
      </c>
      <c r="I98" s="5" t="s">
        <v>29</v>
      </c>
      <c r="J98" s="5" t="s">
        <v>18</v>
      </c>
      <c r="K98" s="3">
        <v>96</v>
      </c>
      <c r="L98" s="11">
        <f>jewels[[#This Row],[Unit Price]]/(1+40%)</f>
        <v>435940</v>
      </c>
      <c r="M98" s="11">
        <v>610316</v>
      </c>
      <c r="N98" s="3">
        <v>3</v>
      </c>
      <c r="O98" s="11">
        <f>jewels[[#This Row],[Cost ]]*jewels[[#This Row],[Sales_Qty]]</f>
        <v>1307820</v>
      </c>
      <c r="P98" s="11">
        <v>1830948</v>
      </c>
      <c r="Q98" s="11">
        <f>jewels[[#This Row],[Total Sales Value]]-jewels[[#This Row],[Cost Per Unit]]</f>
        <v>523128</v>
      </c>
      <c r="R98" s="13">
        <f>jewels[[#This Row],[Profit]]/jewels[[#This Row],[Cost Per Unit]]</f>
        <v>0.4</v>
      </c>
    </row>
    <row r="99" spans="1:18" x14ac:dyDescent="0.25">
      <c r="A99" s="3">
        <v>98</v>
      </c>
      <c r="B99" s="4">
        <v>45200</v>
      </c>
      <c r="C99" s="3">
        <v>2023</v>
      </c>
      <c r="D99" s="3">
        <v>10</v>
      </c>
      <c r="E99" s="5" t="s">
        <v>61</v>
      </c>
      <c r="F99" s="3">
        <v>231</v>
      </c>
      <c r="G99" s="5" t="s">
        <v>60</v>
      </c>
      <c r="H99" s="5" t="s">
        <v>16</v>
      </c>
      <c r="I99" s="5" t="s">
        <v>27</v>
      </c>
      <c r="J99" s="5" t="s">
        <v>45</v>
      </c>
      <c r="K99" s="3">
        <v>73</v>
      </c>
      <c r="L99" s="11">
        <f>jewels[[#This Row],[Unit Price]]/(1+40%)</f>
        <v>2007713.5714285716</v>
      </c>
      <c r="M99" s="11">
        <v>2810799</v>
      </c>
      <c r="N99" s="3">
        <v>3</v>
      </c>
      <c r="O99" s="11">
        <f>jewels[[#This Row],[Cost ]]*jewels[[#This Row],[Sales_Qty]]</f>
        <v>6023140.7142857146</v>
      </c>
      <c r="P99" s="11">
        <v>8432397</v>
      </c>
      <c r="Q99" s="11">
        <f>jewels[[#This Row],[Total Sales Value]]-jewels[[#This Row],[Cost Per Unit]]</f>
        <v>2409256.2857142854</v>
      </c>
      <c r="R99" s="13">
        <f>jewels[[#This Row],[Profit]]/jewels[[#This Row],[Cost Per Unit]]</f>
        <v>0.39999999999999991</v>
      </c>
    </row>
    <row r="100" spans="1:18" x14ac:dyDescent="0.25">
      <c r="A100" s="3">
        <v>99</v>
      </c>
      <c r="B100" s="4">
        <v>45248</v>
      </c>
      <c r="C100" s="3">
        <v>2023</v>
      </c>
      <c r="D100" s="3">
        <v>11</v>
      </c>
      <c r="E100" s="5" t="s">
        <v>58</v>
      </c>
      <c r="F100" s="3">
        <v>345</v>
      </c>
      <c r="G100" s="5" t="s">
        <v>34</v>
      </c>
      <c r="H100" s="5" t="s">
        <v>35</v>
      </c>
      <c r="I100" s="5" t="s">
        <v>27</v>
      </c>
      <c r="J100" s="5" t="s">
        <v>28</v>
      </c>
      <c r="K100" s="3">
        <v>82</v>
      </c>
      <c r="L100" s="11">
        <f>jewels[[#This Row],[Unit Price]]/(1+40%)</f>
        <v>4584464.2857142864</v>
      </c>
      <c r="M100" s="11">
        <v>6418250</v>
      </c>
      <c r="N100" s="3">
        <v>8</v>
      </c>
      <c r="O100" s="11">
        <f>jewels[[#This Row],[Cost ]]*jewels[[#This Row],[Sales_Qty]]</f>
        <v>36675714.285714291</v>
      </c>
      <c r="P100" s="11">
        <v>51346000</v>
      </c>
      <c r="Q100" s="11">
        <f>jewels[[#This Row],[Total Sales Value]]-jewels[[#This Row],[Cost Per Unit]]</f>
        <v>14670285.714285709</v>
      </c>
      <c r="R100" s="13">
        <f>jewels[[#This Row],[Profit]]/jewels[[#This Row],[Cost Per Unit]]</f>
        <v>0.3999999999999998</v>
      </c>
    </row>
    <row r="101" spans="1:18" x14ac:dyDescent="0.25">
      <c r="A101" s="3">
        <v>100</v>
      </c>
      <c r="B101" s="4">
        <v>45229</v>
      </c>
      <c r="C101" s="3">
        <v>2023</v>
      </c>
      <c r="D101" s="3">
        <v>10</v>
      </c>
      <c r="E101" s="5" t="s">
        <v>61</v>
      </c>
      <c r="F101" s="3">
        <v>282</v>
      </c>
      <c r="G101" s="5" t="s">
        <v>48</v>
      </c>
      <c r="H101" s="5" t="s">
        <v>16</v>
      </c>
      <c r="I101" s="5" t="s">
        <v>22</v>
      </c>
      <c r="J101" s="5" t="s">
        <v>50</v>
      </c>
      <c r="K101" s="3">
        <v>75</v>
      </c>
      <c r="L101" s="11">
        <f>jewels[[#This Row],[Unit Price]]/(1+40%)</f>
        <v>5388768.5714285718</v>
      </c>
      <c r="M101" s="11">
        <v>7544276</v>
      </c>
      <c r="N101" s="3">
        <v>7</v>
      </c>
      <c r="O101" s="11">
        <f>jewels[[#This Row],[Cost ]]*jewels[[#This Row],[Sales_Qty]]</f>
        <v>37721380</v>
      </c>
      <c r="P101" s="11">
        <v>52809932</v>
      </c>
      <c r="Q101" s="11">
        <f>jewels[[#This Row],[Total Sales Value]]-jewels[[#This Row],[Cost Per Unit]]</f>
        <v>15088552</v>
      </c>
      <c r="R101" s="13">
        <f>jewels[[#This Row],[Profit]]/jewels[[#This Row],[Cost Per Unit]]</f>
        <v>0.4</v>
      </c>
    </row>
    <row r="102" spans="1:18" x14ac:dyDescent="0.25">
      <c r="A102" s="3">
        <v>101</v>
      </c>
      <c r="B102" s="4">
        <v>45214</v>
      </c>
      <c r="C102" s="3">
        <v>2023</v>
      </c>
      <c r="D102" s="3">
        <v>10</v>
      </c>
      <c r="E102" s="5" t="s">
        <v>61</v>
      </c>
      <c r="F102" s="3">
        <v>463</v>
      </c>
      <c r="G102" s="5" t="s">
        <v>42</v>
      </c>
      <c r="H102" s="5" t="s">
        <v>26</v>
      </c>
      <c r="I102" s="5" t="s">
        <v>40</v>
      </c>
      <c r="J102" s="5" t="s">
        <v>32</v>
      </c>
      <c r="K102" s="3">
        <v>51</v>
      </c>
      <c r="L102" s="11">
        <f>jewels[[#This Row],[Unit Price]]/(1+40%)</f>
        <v>6214226.4285714291</v>
      </c>
      <c r="M102" s="11">
        <v>8699917</v>
      </c>
      <c r="N102" s="3">
        <v>10</v>
      </c>
      <c r="O102" s="11">
        <f>jewels[[#This Row],[Cost ]]*jewels[[#This Row],[Sales_Qty]]</f>
        <v>62142264.285714291</v>
      </c>
      <c r="P102" s="11">
        <v>86999170</v>
      </c>
      <c r="Q102" s="11">
        <f>jewels[[#This Row],[Total Sales Value]]-jewels[[#This Row],[Cost Per Unit]]</f>
        <v>24856905.714285709</v>
      </c>
      <c r="R102" s="13">
        <f>jewels[[#This Row],[Profit]]/jewels[[#This Row],[Cost Per Unit]]</f>
        <v>0.39999999999999986</v>
      </c>
    </row>
    <row r="103" spans="1:18" x14ac:dyDescent="0.25">
      <c r="A103" s="3">
        <v>102</v>
      </c>
      <c r="B103" s="4">
        <v>44319</v>
      </c>
      <c r="C103" s="3">
        <v>2021</v>
      </c>
      <c r="D103" s="3">
        <v>5</v>
      </c>
      <c r="E103" s="5" t="s">
        <v>53</v>
      </c>
      <c r="F103" s="3">
        <v>53</v>
      </c>
      <c r="G103" s="5" t="s">
        <v>34</v>
      </c>
      <c r="H103" s="5" t="s">
        <v>35</v>
      </c>
      <c r="I103" s="5" t="s">
        <v>40</v>
      </c>
      <c r="J103" s="5" t="s">
        <v>28</v>
      </c>
      <c r="K103" s="3">
        <v>90</v>
      </c>
      <c r="L103" s="11">
        <f>jewels[[#This Row],[Unit Price]]/(1+40%)</f>
        <v>5278090</v>
      </c>
      <c r="M103" s="11">
        <v>7389326</v>
      </c>
      <c r="N103" s="3">
        <v>10</v>
      </c>
      <c r="O103" s="11">
        <f>jewels[[#This Row],[Cost ]]*jewels[[#This Row],[Sales_Qty]]</f>
        <v>52780900</v>
      </c>
      <c r="P103" s="11">
        <v>73893260</v>
      </c>
      <c r="Q103" s="11">
        <f>jewels[[#This Row],[Total Sales Value]]-jewels[[#This Row],[Cost Per Unit]]</f>
        <v>21112360</v>
      </c>
      <c r="R103" s="13">
        <f>jewels[[#This Row],[Profit]]/jewels[[#This Row],[Cost Per Unit]]</f>
        <v>0.4</v>
      </c>
    </row>
    <row r="104" spans="1:18" x14ac:dyDescent="0.25">
      <c r="A104" s="3">
        <v>103</v>
      </c>
      <c r="B104" s="4">
        <v>43925</v>
      </c>
      <c r="C104" s="3">
        <v>2020</v>
      </c>
      <c r="D104" s="3">
        <v>4</v>
      </c>
      <c r="E104" s="5" t="s">
        <v>24</v>
      </c>
      <c r="F104" s="3">
        <v>500</v>
      </c>
      <c r="G104" s="5" t="s">
        <v>65</v>
      </c>
      <c r="H104" s="5" t="s">
        <v>56</v>
      </c>
      <c r="I104" s="5" t="s">
        <v>27</v>
      </c>
      <c r="J104" s="5" t="s">
        <v>32</v>
      </c>
      <c r="K104" s="3">
        <v>95</v>
      </c>
      <c r="L104" s="11">
        <f>jewels[[#This Row],[Unit Price]]/(1+40%)</f>
        <v>656817.85714285716</v>
      </c>
      <c r="M104" s="11">
        <v>919545</v>
      </c>
      <c r="N104" s="3">
        <v>9</v>
      </c>
      <c r="O104" s="11">
        <f>jewels[[#This Row],[Cost ]]*jewels[[#This Row],[Sales_Qty]]</f>
        <v>5911360.7142857146</v>
      </c>
      <c r="P104" s="11">
        <v>8275905</v>
      </c>
      <c r="Q104" s="11">
        <f>jewels[[#This Row],[Total Sales Value]]-jewels[[#This Row],[Cost Per Unit]]</f>
        <v>2364544.2857142854</v>
      </c>
      <c r="R104" s="13">
        <f>jewels[[#This Row],[Profit]]/jewels[[#This Row],[Cost Per Unit]]</f>
        <v>0.39999999999999991</v>
      </c>
    </row>
    <row r="105" spans="1:18" x14ac:dyDescent="0.25">
      <c r="A105" s="3">
        <v>104</v>
      </c>
      <c r="B105" s="4">
        <v>44915</v>
      </c>
      <c r="C105" s="3">
        <v>2022</v>
      </c>
      <c r="D105" s="3">
        <v>12</v>
      </c>
      <c r="E105" s="5" t="s">
        <v>37</v>
      </c>
      <c r="F105" s="3">
        <v>129</v>
      </c>
      <c r="G105" s="5" t="s">
        <v>25</v>
      </c>
      <c r="H105" s="5" t="s">
        <v>26</v>
      </c>
      <c r="I105" s="5" t="s">
        <v>22</v>
      </c>
      <c r="J105" s="5" t="s">
        <v>50</v>
      </c>
      <c r="K105" s="3">
        <v>86</v>
      </c>
      <c r="L105" s="11">
        <f>jewels[[#This Row],[Unit Price]]/(1+40%)</f>
        <v>2986760</v>
      </c>
      <c r="M105" s="11">
        <v>4181464</v>
      </c>
      <c r="N105" s="3">
        <v>9</v>
      </c>
      <c r="O105" s="11">
        <f>jewels[[#This Row],[Cost ]]*jewels[[#This Row],[Sales_Qty]]</f>
        <v>26880840</v>
      </c>
      <c r="P105" s="11">
        <v>37633176</v>
      </c>
      <c r="Q105" s="11">
        <f>jewels[[#This Row],[Total Sales Value]]-jewels[[#This Row],[Cost Per Unit]]</f>
        <v>10752336</v>
      </c>
      <c r="R105" s="13">
        <f>jewels[[#This Row],[Profit]]/jewels[[#This Row],[Cost Per Unit]]</f>
        <v>0.4</v>
      </c>
    </row>
    <row r="106" spans="1:18" x14ac:dyDescent="0.25">
      <c r="A106" s="3">
        <v>105</v>
      </c>
      <c r="B106" s="4">
        <v>44374</v>
      </c>
      <c r="C106" s="3">
        <v>2021</v>
      </c>
      <c r="D106" s="3">
        <v>6</v>
      </c>
      <c r="E106" s="5" t="s">
        <v>14</v>
      </c>
      <c r="F106" s="3">
        <v>283</v>
      </c>
      <c r="G106" s="5" t="s">
        <v>63</v>
      </c>
      <c r="H106" s="5" t="s">
        <v>21</v>
      </c>
      <c r="I106" s="5" t="s">
        <v>40</v>
      </c>
      <c r="J106" s="5" t="s">
        <v>50</v>
      </c>
      <c r="K106" s="3">
        <v>97</v>
      </c>
      <c r="L106" s="11">
        <f>jewels[[#This Row],[Unit Price]]/(1+40%)</f>
        <v>6175872.8571428573</v>
      </c>
      <c r="M106" s="11">
        <v>8646222</v>
      </c>
      <c r="N106" s="3">
        <v>7</v>
      </c>
      <c r="O106" s="11">
        <f>jewels[[#This Row],[Cost ]]*jewels[[#This Row],[Sales_Qty]]</f>
        <v>43231110</v>
      </c>
      <c r="P106" s="11">
        <v>60523554</v>
      </c>
      <c r="Q106" s="11">
        <f>jewels[[#This Row],[Total Sales Value]]-jewels[[#This Row],[Cost Per Unit]]</f>
        <v>17292444</v>
      </c>
      <c r="R106" s="13">
        <f>jewels[[#This Row],[Profit]]/jewels[[#This Row],[Cost Per Unit]]</f>
        <v>0.4</v>
      </c>
    </row>
    <row r="107" spans="1:18" x14ac:dyDescent="0.25">
      <c r="A107" s="3">
        <v>106</v>
      </c>
      <c r="B107" s="4">
        <v>44348</v>
      </c>
      <c r="C107" s="3">
        <v>2021</v>
      </c>
      <c r="D107" s="3">
        <v>6</v>
      </c>
      <c r="E107" s="5" t="s">
        <v>14</v>
      </c>
      <c r="F107" s="3">
        <v>107</v>
      </c>
      <c r="G107" s="5" t="s">
        <v>64</v>
      </c>
      <c r="H107" s="5" t="s">
        <v>26</v>
      </c>
      <c r="I107" s="5" t="s">
        <v>40</v>
      </c>
      <c r="J107" s="5" t="s">
        <v>50</v>
      </c>
      <c r="K107" s="3">
        <v>87</v>
      </c>
      <c r="L107" s="11">
        <f>jewels[[#This Row],[Unit Price]]/(1+40%)</f>
        <v>420242.85714285716</v>
      </c>
      <c r="M107" s="11">
        <v>588340</v>
      </c>
      <c r="N107" s="3">
        <v>9</v>
      </c>
      <c r="O107" s="11">
        <f>jewels[[#This Row],[Cost ]]*jewels[[#This Row],[Sales_Qty]]</f>
        <v>3782185.7142857146</v>
      </c>
      <c r="P107" s="11">
        <v>5295060</v>
      </c>
      <c r="Q107" s="11">
        <f>jewels[[#This Row],[Total Sales Value]]-jewels[[#This Row],[Cost Per Unit]]</f>
        <v>1512874.2857142854</v>
      </c>
      <c r="R107" s="13">
        <f>jewels[[#This Row],[Profit]]/jewels[[#This Row],[Cost Per Unit]]</f>
        <v>0.39999999999999991</v>
      </c>
    </row>
    <row r="108" spans="1:18" x14ac:dyDescent="0.25">
      <c r="A108" s="3">
        <v>107</v>
      </c>
      <c r="B108" s="4">
        <v>44149</v>
      </c>
      <c r="C108" s="3">
        <v>2020</v>
      </c>
      <c r="D108" s="3">
        <v>11</v>
      </c>
      <c r="E108" s="5" t="s">
        <v>58</v>
      </c>
      <c r="F108" s="3">
        <v>360</v>
      </c>
      <c r="G108" s="5" t="s">
        <v>36</v>
      </c>
      <c r="H108" s="5" t="s">
        <v>16</v>
      </c>
      <c r="I108" s="5" t="s">
        <v>17</v>
      </c>
      <c r="J108" s="5" t="s">
        <v>44</v>
      </c>
      <c r="K108" s="3">
        <v>63</v>
      </c>
      <c r="L108" s="11">
        <f>jewels[[#This Row],[Unit Price]]/(1+40%)</f>
        <v>5819615.7142857146</v>
      </c>
      <c r="M108" s="11">
        <v>8147462</v>
      </c>
      <c r="N108" s="3">
        <v>8</v>
      </c>
      <c r="O108" s="11">
        <f>jewels[[#This Row],[Cost ]]*jewels[[#This Row],[Sales_Qty]]</f>
        <v>46556925.714285716</v>
      </c>
      <c r="P108" s="11">
        <v>65179696</v>
      </c>
      <c r="Q108" s="11">
        <f>jewels[[#This Row],[Total Sales Value]]-jewels[[#This Row],[Cost Per Unit]]</f>
        <v>18622770.285714284</v>
      </c>
      <c r="R108" s="13">
        <f>jewels[[#This Row],[Profit]]/jewels[[#This Row],[Cost Per Unit]]</f>
        <v>0.39999999999999991</v>
      </c>
    </row>
    <row r="109" spans="1:18" x14ac:dyDescent="0.25">
      <c r="A109" s="3">
        <v>108</v>
      </c>
      <c r="B109" s="4">
        <v>44268</v>
      </c>
      <c r="C109" s="3">
        <v>2021</v>
      </c>
      <c r="D109" s="3">
        <v>3</v>
      </c>
      <c r="E109" s="5" t="s">
        <v>43</v>
      </c>
      <c r="F109" s="3">
        <v>120</v>
      </c>
      <c r="G109" s="5" t="s">
        <v>25</v>
      </c>
      <c r="H109" s="5" t="s">
        <v>26</v>
      </c>
      <c r="I109" s="5" t="s">
        <v>29</v>
      </c>
      <c r="J109" s="5" t="s">
        <v>44</v>
      </c>
      <c r="K109" s="3">
        <v>87</v>
      </c>
      <c r="L109" s="11">
        <f>jewels[[#This Row],[Unit Price]]/(1+40%)</f>
        <v>3708350.7142857146</v>
      </c>
      <c r="M109" s="11">
        <v>5191691</v>
      </c>
      <c r="N109" s="3">
        <v>9</v>
      </c>
      <c r="O109" s="11">
        <f>jewels[[#This Row],[Cost ]]*jewels[[#This Row],[Sales_Qty]]</f>
        <v>33375156.428571433</v>
      </c>
      <c r="P109" s="11">
        <v>46725219</v>
      </c>
      <c r="Q109" s="11">
        <f>jewels[[#This Row],[Total Sales Value]]-jewels[[#This Row],[Cost Per Unit]]</f>
        <v>13350062.571428567</v>
      </c>
      <c r="R109" s="13">
        <f>jewels[[#This Row],[Profit]]/jewels[[#This Row],[Cost Per Unit]]</f>
        <v>0.3999999999999998</v>
      </c>
    </row>
    <row r="110" spans="1:18" x14ac:dyDescent="0.25">
      <c r="A110" s="3">
        <v>109</v>
      </c>
      <c r="B110" s="4">
        <v>44113</v>
      </c>
      <c r="C110" s="3">
        <v>2020</v>
      </c>
      <c r="D110" s="3">
        <v>10</v>
      </c>
      <c r="E110" s="5" t="s">
        <v>61</v>
      </c>
      <c r="F110" s="3">
        <v>462</v>
      </c>
      <c r="G110" s="5" t="s">
        <v>15</v>
      </c>
      <c r="H110" s="5" t="s">
        <v>16</v>
      </c>
      <c r="I110" s="5" t="s">
        <v>39</v>
      </c>
      <c r="J110" s="5" t="s">
        <v>44</v>
      </c>
      <c r="K110" s="3">
        <v>56</v>
      </c>
      <c r="L110" s="11">
        <f>jewels[[#This Row],[Unit Price]]/(1+40%)</f>
        <v>5358997.8571428573</v>
      </c>
      <c r="M110" s="11">
        <v>7502597</v>
      </c>
      <c r="N110" s="3">
        <v>9</v>
      </c>
      <c r="O110" s="11">
        <f>jewels[[#This Row],[Cost ]]*jewels[[#This Row],[Sales_Qty]]</f>
        <v>48230980.714285716</v>
      </c>
      <c r="P110" s="11">
        <v>67523373</v>
      </c>
      <c r="Q110" s="11">
        <f>jewels[[#This Row],[Total Sales Value]]-jewels[[#This Row],[Cost Per Unit]]</f>
        <v>19292392.285714284</v>
      </c>
      <c r="R110" s="13">
        <f>jewels[[#This Row],[Profit]]/jewels[[#This Row],[Cost Per Unit]]</f>
        <v>0.39999999999999991</v>
      </c>
    </row>
    <row r="111" spans="1:18" x14ac:dyDescent="0.25">
      <c r="A111" s="3">
        <v>110</v>
      </c>
      <c r="B111" s="4">
        <v>44663</v>
      </c>
      <c r="C111" s="3">
        <v>2022</v>
      </c>
      <c r="D111" s="3">
        <v>4</v>
      </c>
      <c r="E111" s="5" t="s">
        <v>24</v>
      </c>
      <c r="F111" s="3">
        <v>79</v>
      </c>
      <c r="G111" s="5" t="s">
        <v>34</v>
      </c>
      <c r="H111" s="5" t="s">
        <v>35</v>
      </c>
      <c r="I111" s="5" t="s">
        <v>29</v>
      </c>
      <c r="J111" s="5" t="s">
        <v>32</v>
      </c>
      <c r="K111" s="3">
        <v>91</v>
      </c>
      <c r="L111" s="11">
        <f>jewels[[#This Row],[Unit Price]]/(1+40%)</f>
        <v>4154010.0000000005</v>
      </c>
      <c r="M111" s="11">
        <v>5815614</v>
      </c>
      <c r="N111" s="3">
        <v>2</v>
      </c>
      <c r="O111" s="11">
        <f>jewels[[#This Row],[Cost ]]*jewels[[#This Row],[Sales_Qty]]</f>
        <v>8308020.0000000009</v>
      </c>
      <c r="P111" s="11">
        <v>11631228</v>
      </c>
      <c r="Q111" s="11">
        <f>jewels[[#This Row],[Total Sales Value]]-jewels[[#This Row],[Cost Per Unit]]</f>
        <v>3323207.9999999991</v>
      </c>
      <c r="R111" s="13">
        <f>jewels[[#This Row],[Profit]]/jewels[[#This Row],[Cost Per Unit]]</f>
        <v>0.39999999999999986</v>
      </c>
    </row>
    <row r="112" spans="1:18" x14ac:dyDescent="0.25">
      <c r="A112" s="3">
        <v>111</v>
      </c>
      <c r="B112" s="4">
        <v>44933</v>
      </c>
      <c r="C112" s="3">
        <v>2023</v>
      </c>
      <c r="D112" s="3">
        <v>1</v>
      </c>
      <c r="E112" s="5" t="s">
        <v>41</v>
      </c>
      <c r="F112" s="3">
        <v>160</v>
      </c>
      <c r="G112" s="5" t="s">
        <v>36</v>
      </c>
      <c r="H112" s="5" t="s">
        <v>16</v>
      </c>
      <c r="I112" s="5" t="s">
        <v>17</v>
      </c>
      <c r="J112" s="5" t="s">
        <v>50</v>
      </c>
      <c r="K112" s="3">
        <v>99</v>
      </c>
      <c r="L112" s="11">
        <f>jewels[[#This Row],[Unit Price]]/(1+40%)</f>
        <v>2110000.7142857146</v>
      </c>
      <c r="M112" s="11">
        <v>2954001</v>
      </c>
      <c r="N112" s="3">
        <v>5</v>
      </c>
      <c r="O112" s="11">
        <f>jewels[[#This Row],[Cost ]]*jewels[[#This Row],[Sales_Qty]]</f>
        <v>10550003.571428573</v>
      </c>
      <c r="P112" s="11">
        <v>14770005</v>
      </c>
      <c r="Q112" s="11">
        <f>jewels[[#This Row],[Total Sales Value]]-jewels[[#This Row],[Cost Per Unit]]</f>
        <v>4220001.4285714272</v>
      </c>
      <c r="R112" s="13">
        <f>jewels[[#This Row],[Profit]]/jewels[[#This Row],[Cost Per Unit]]</f>
        <v>0.3999999999999998</v>
      </c>
    </row>
    <row r="113" spans="1:18" x14ac:dyDescent="0.25">
      <c r="A113" s="3">
        <v>112</v>
      </c>
      <c r="B113" s="4">
        <v>45112</v>
      </c>
      <c r="C113" s="3">
        <v>2023</v>
      </c>
      <c r="D113" s="3">
        <v>7</v>
      </c>
      <c r="E113" s="5" t="s">
        <v>49</v>
      </c>
      <c r="F113" s="3">
        <v>209</v>
      </c>
      <c r="G113" s="5" t="s">
        <v>60</v>
      </c>
      <c r="H113" s="5" t="s">
        <v>16</v>
      </c>
      <c r="I113" s="5" t="s">
        <v>40</v>
      </c>
      <c r="J113" s="5" t="s">
        <v>23</v>
      </c>
      <c r="K113" s="3">
        <v>68</v>
      </c>
      <c r="L113" s="11">
        <f>jewels[[#This Row],[Unit Price]]/(1+40%)</f>
        <v>6118880</v>
      </c>
      <c r="M113" s="11">
        <v>8566432</v>
      </c>
      <c r="N113" s="3">
        <v>2</v>
      </c>
      <c r="O113" s="11">
        <f>jewels[[#This Row],[Cost ]]*jewels[[#This Row],[Sales_Qty]]</f>
        <v>12237760</v>
      </c>
      <c r="P113" s="11">
        <v>17132864</v>
      </c>
      <c r="Q113" s="11">
        <f>jewels[[#This Row],[Total Sales Value]]-jewels[[#This Row],[Cost Per Unit]]</f>
        <v>4895104</v>
      </c>
      <c r="R113" s="13">
        <f>jewels[[#This Row],[Profit]]/jewels[[#This Row],[Cost Per Unit]]</f>
        <v>0.4</v>
      </c>
    </row>
    <row r="114" spans="1:18" x14ac:dyDescent="0.25">
      <c r="A114" s="3">
        <v>113</v>
      </c>
      <c r="B114" s="4">
        <v>44123</v>
      </c>
      <c r="C114" s="3">
        <v>2020</v>
      </c>
      <c r="D114" s="3">
        <v>10</v>
      </c>
      <c r="E114" s="5" t="s">
        <v>61</v>
      </c>
      <c r="F114" s="3">
        <v>298</v>
      </c>
      <c r="G114" s="5" t="s">
        <v>60</v>
      </c>
      <c r="H114" s="5" t="s">
        <v>16</v>
      </c>
      <c r="I114" s="5" t="s">
        <v>29</v>
      </c>
      <c r="J114" s="5" t="s">
        <v>44</v>
      </c>
      <c r="K114" s="3">
        <v>67</v>
      </c>
      <c r="L114" s="11">
        <f>jewels[[#This Row],[Unit Price]]/(1+40%)</f>
        <v>5516218.5714285718</v>
      </c>
      <c r="M114" s="11">
        <v>7722706</v>
      </c>
      <c r="N114" s="3">
        <v>7</v>
      </c>
      <c r="O114" s="11">
        <f>jewels[[#This Row],[Cost ]]*jewels[[#This Row],[Sales_Qty]]</f>
        <v>38613530</v>
      </c>
      <c r="P114" s="11">
        <v>54058942</v>
      </c>
      <c r="Q114" s="11">
        <f>jewels[[#This Row],[Total Sales Value]]-jewels[[#This Row],[Cost Per Unit]]</f>
        <v>15445412</v>
      </c>
      <c r="R114" s="13">
        <f>jewels[[#This Row],[Profit]]/jewels[[#This Row],[Cost Per Unit]]</f>
        <v>0.4</v>
      </c>
    </row>
    <row r="115" spans="1:18" x14ac:dyDescent="0.25">
      <c r="A115" s="3">
        <v>114</v>
      </c>
      <c r="B115" s="4">
        <v>44233</v>
      </c>
      <c r="C115" s="3">
        <v>2021</v>
      </c>
      <c r="D115" s="3">
        <v>2</v>
      </c>
      <c r="E115" s="5" t="s">
        <v>19</v>
      </c>
      <c r="F115" s="3">
        <v>458</v>
      </c>
      <c r="G115" s="5" t="s">
        <v>46</v>
      </c>
      <c r="H115" s="5" t="s">
        <v>35</v>
      </c>
      <c r="I115" s="5" t="s">
        <v>40</v>
      </c>
      <c r="J115" s="5" t="s">
        <v>23</v>
      </c>
      <c r="K115" s="3">
        <v>69</v>
      </c>
      <c r="L115" s="11">
        <f>jewels[[#This Row],[Unit Price]]/(1+40%)</f>
        <v>2466046.4285714286</v>
      </c>
      <c r="M115" s="11">
        <v>3452465</v>
      </c>
      <c r="N115" s="3">
        <v>9</v>
      </c>
      <c r="O115" s="11">
        <f>jewels[[#This Row],[Cost ]]*jewels[[#This Row],[Sales_Qty]]</f>
        <v>22194417.857142858</v>
      </c>
      <c r="P115" s="11">
        <v>31072185</v>
      </c>
      <c r="Q115" s="11">
        <f>jewels[[#This Row],[Total Sales Value]]-jewels[[#This Row],[Cost Per Unit]]</f>
        <v>8877767.1428571418</v>
      </c>
      <c r="R115" s="13">
        <f>jewels[[#This Row],[Profit]]/jewels[[#This Row],[Cost Per Unit]]</f>
        <v>0.39999999999999991</v>
      </c>
    </row>
    <row r="116" spans="1:18" x14ac:dyDescent="0.25">
      <c r="A116" s="3">
        <v>115</v>
      </c>
      <c r="B116" s="4">
        <v>44857</v>
      </c>
      <c r="C116" s="3">
        <v>2022</v>
      </c>
      <c r="D116" s="3">
        <v>10</v>
      </c>
      <c r="E116" s="5" t="s">
        <v>61</v>
      </c>
      <c r="F116" s="3">
        <v>194</v>
      </c>
      <c r="G116" s="5" t="s">
        <v>64</v>
      </c>
      <c r="H116" s="5" t="s">
        <v>26</v>
      </c>
      <c r="I116" s="5" t="s">
        <v>39</v>
      </c>
      <c r="J116" s="5" t="s">
        <v>23</v>
      </c>
      <c r="K116" s="3">
        <v>81</v>
      </c>
      <c r="L116" s="11">
        <f>jewels[[#This Row],[Unit Price]]/(1+40%)</f>
        <v>1677613.5714285716</v>
      </c>
      <c r="M116" s="11">
        <v>2348659</v>
      </c>
      <c r="N116" s="3">
        <v>10</v>
      </c>
      <c r="O116" s="11">
        <f>jewels[[#This Row],[Cost ]]*jewels[[#This Row],[Sales_Qty]]</f>
        <v>16776135.714285716</v>
      </c>
      <c r="P116" s="11">
        <v>23486590</v>
      </c>
      <c r="Q116" s="11">
        <f>jewels[[#This Row],[Total Sales Value]]-jewels[[#This Row],[Cost Per Unit]]</f>
        <v>6710454.2857142836</v>
      </c>
      <c r="R116" s="13">
        <f>jewels[[#This Row],[Profit]]/jewels[[#This Row],[Cost Per Unit]]</f>
        <v>0.3999999999999998</v>
      </c>
    </row>
    <row r="117" spans="1:18" x14ac:dyDescent="0.25">
      <c r="A117" s="3">
        <v>116</v>
      </c>
      <c r="B117" s="4">
        <v>44194</v>
      </c>
      <c r="C117" s="3">
        <v>2020</v>
      </c>
      <c r="D117" s="3">
        <v>12</v>
      </c>
      <c r="E117" s="5" t="s">
        <v>37</v>
      </c>
      <c r="F117" s="3">
        <v>97</v>
      </c>
      <c r="G117" s="5" t="s">
        <v>52</v>
      </c>
      <c r="H117" s="5" t="s">
        <v>21</v>
      </c>
      <c r="I117" s="5" t="s">
        <v>29</v>
      </c>
      <c r="J117" s="5" t="s">
        <v>50</v>
      </c>
      <c r="K117" s="3">
        <v>50</v>
      </c>
      <c r="L117" s="11">
        <f>jewels[[#This Row],[Unit Price]]/(1+40%)</f>
        <v>2386508.5714285714</v>
      </c>
      <c r="M117" s="11">
        <v>3341112</v>
      </c>
      <c r="N117" s="3">
        <v>3</v>
      </c>
      <c r="O117" s="11">
        <f>jewels[[#This Row],[Cost ]]*jewels[[#This Row],[Sales_Qty]]</f>
        <v>7159525.7142857146</v>
      </c>
      <c r="P117" s="11">
        <v>10023336</v>
      </c>
      <c r="Q117" s="11">
        <f>jewels[[#This Row],[Total Sales Value]]-jewels[[#This Row],[Cost Per Unit]]</f>
        <v>2863810.2857142854</v>
      </c>
      <c r="R117" s="13">
        <f>jewels[[#This Row],[Profit]]/jewels[[#This Row],[Cost Per Unit]]</f>
        <v>0.39999999999999997</v>
      </c>
    </row>
    <row r="118" spans="1:18" x14ac:dyDescent="0.25">
      <c r="A118" s="3">
        <v>117</v>
      </c>
      <c r="B118" s="4">
        <v>44046</v>
      </c>
      <c r="C118" s="3">
        <v>2020</v>
      </c>
      <c r="D118" s="3">
        <v>8</v>
      </c>
      <c r="E118" s="5" t="s">
        <v>51</v>
      </c>
      <c r="F118" s="3">
        <v>37</v>
      </c>
      <c r="G118" s="5" t="s">
        <v>62</v>
      </c>
      <c r="H118" s="5" t="s">
        <v>56</v>
      </c>
      <c r="I118" s="5" t="s">
        <v>29</v>
      </c>
      <c r="J118" s="5" t="s">
        <v>23</v>
      </c>
      <c r="K118" s="3">
        <v>60</v>
      </c>
      <c r="L118" s="11">
        <f>jewels[[#This Row],[Unit Price]]/(1+40%)</f>
        <v>3148940</v>
      </c>
      <c r="M118" s="11">
        <v>4408516</v>
      </c>
      <c r="N118" s="3">
        <v>10</v>
      </c>
      <c r="O118" s="11">
        <f>jewels[[#This Row],[Cost ]]*jewels[[#This Row],[Sales_Qty]]</f>
        <v>31489400</v>
      </c>
      <c r="P118" s="11">
        <v>44085160</v>
      </c>
      <c r="Q118" s="11">
        <f>jewels[[#This Row],[Total Sales Value]]-jewels[[#This Row],[Cost Per Unit]]</f>
        <v>12595760</v>
      </c>
      <c r="R118" s="13">
        <f>jewels[[#This Row],[Profit]]/jewels[[#This Row],[Cost Per Unit]]</f>
        <v>0.4</v>
      </c>
    </row>
    <row r="119" spans="1:18" x14ac:dyDescent="0.25">
      <c r="A119" s="3">
        <v>118</v>
      </c>
      <c r="B119" s="4">
        <v>44928</v>
      </c>
      <c r="C119" s="3">
        <v>2023</v>
      </c>
      <c r="D119" s="3">
        <v>1</v>
      </c>
      <c r="E119" s="5" t="s">
        <v>41</v>
      </c>
      <c r="F119" s="3">
        <v>134</v>
      </c>
      <c r="G119" s="5" t="s">
        <v>57</v>
      </c>
      <c r="H119" s="5" t="s">
        <v>35</v>
      </c>
      <c r="I119" s="5" t="s">
        <v>39</v>
      </c>
      <c r="J119" s="5" t="s">
        <v>44</v>
      </c>
      <c r="K119" s="3">
        <v>86</v>
      </c>
      <c r="L119" s="11">
        <f>jewels[[#This Row],[Unit Price]]/(1+40%)</f>
        <v>451495.71428571432</v>
      </c>
      <c r="M119" s="11">
        <v>632094</v>
      </c>
      <c r="N119" s="3">
        <v>3</v>
      </c>
      <c r="O119" s="11">
        <f>jewels[[#This Row],[Cost ]]*jewels[[#This Row],[Sales_Qty]]</f>
        <v>1354487.142857143</v>
      </c>
      <c r="P119" s="11">
        <v>1896282</v>
      </c>
      <c r="Q119" s="11">
        <f>jewels[[#This Row],[Total Sales Value]]-jewels[[#This Row],[Cost Per Unit]]</f>
        <v>541794.85714285704</v>
      </c>
      <c r="R119" s="13">
        <f>jewels[[#This Row],[Profit]]/jewels[[#This Row],[Cost Per Unit]]</f>
        <v>0.39999999999999991</v>
      </c>
    </row>
    <row r="120" spans="1:18" x14ac:dyDescent="0.25">
      <c r="A120" s="3">
        <v>119</v>
      </c>
      <c r="B120" s="4">
        <v>45379</v>
      </c>
      <c r="C120" s="3">
        <v>2024</v>
      </c>
      <c r="D120" s="3">
        <v>3</v>
      </c>
      <c r="E120" s="5" t="s">
        <v>43</v>
      </c>
      <c r="F120" s="3">
        <v>383</v>
      </c>
      <c r="G120" s="5" t="s">
        <v>15</v>
      </c>
      <c r="H120" s="5" t="s">
        <v>16</v>
      </c>
      <c r="I120" s="5" t="s">
        <v>39</v>
      </c>
      <c r="J120" s="5" t="s">
        <v>28</v>
      </c>
      <c r="K120" s="3">
        <v>100</v>
      </c>
      <c r="L120" s="11">
        <f>jewels[[#This Row],[Unit Price]]/(1+40%)</f>
        <v>402997.1428571429</v>
      </c>
      <c r="M120" s="11">
        <v>564196</v>
      </c>
      <c r="N120" s="3">
        <v>6</v>
      </c>
      <c r="O120" s="11">
        <f>jewels[[#This Row],[Cost ]]*jewels[[#This Row],[Sales_Qty]]</f>
        <v>2417982.8571428573</v>
      </c>
      <c r="P120" s="11">
        <v>3385176</v>
      </c>
      <c r="Q120" s="11">
        <f>jewels[[#This Row],[Total Sales Value]]-jewels[[#This Row],[Cost Per Unit]]</f>
        <v>967193.14285714272</v>
      </c>
      <c r="R120" s="13">
        <f>jewels[[#This Row],[Profit]]/jewels[[#This Row],[Cost Per Unit]]</f>
        <v>0.39999999999999991</v>
      </c>
    </row>
    <row r="121" spans="1:18" x14ac:dyDescent="0.25">
      <c r="A121" s="3">
        <v>120</v>
      </c>
      <c r="B121" s="4">
        <v>44822</v>
      </c>
      <c r="C121" s="3">
        <v>2022</v>
      </c>
      <c r="D121" s="3">
        <v>9</v>
      </c>
      <c r="E121" s="5" t="s">
        <v>33</v>
      </c>
      <c r="F121" s="3">
        <v>197</v>
      </c>
      <c r="G121" s="5" t="s">
        <v>38</v>
      </c>
      <c r="H121" s="5" t="s">
        <v>35</v>
      </c>
      <c r="I121" s="5" t="s">
        <v>27</v>
      </c>
      <c r="J121" s="5" t="s">
        <v>30</v>
      </c>
      <c r="K121" s="3">
        <v>51</v>
      </c>
      <c r="L121" s="11">
        <f>jewels[[#This Row],[Unit Price]]/(1+40%)</f>
        <v>5702813.5714285718</v>
      </c>
      <c r="M121" s="11">
        <v>7983939</v>
      </c>
      <c r="N121" s="3">
        <v>10</v>
      </c>
      <c r="O121" s="11">
        <f>jewels[[#This Row],[Cost ]]*jewels[[#This Row],[Sales_Qty]]</f>
        <v>57028135.714285716</v>
      </c>
      <c r="P121" s="11">
        <v>79839390</v>
      </c>
      <c r="Q121" s="11">
        <f>jewels[[#This Row],[Total Sales Value]]-jewels[[#This Row],[Cost Per Unit]]</f>
        <v>22811254.285714284</v>
      </c>
      <c r="R121" s="13">
        <f>jewels[[#This Row],[Profit]]/jewels[[#This Row],[Cost Per Unit]]</f>
        <v>0.39999999999999997</v>
      </c>
    </row>
    <row r="122" spans="1:18" x14ac:dyDescent="0.25">
      <c r="A122" s="3">
        <v>121</v>
      </c>
      <c r="B122" s="4">
        <v>44642</v>
      </c>
      <c r="C122" s="3">
        <v>2022</v>
      </c>
      <c r="D122" s="3">
        <v>3</v>
      </c>
      <c r="E122" s="5" t="s">
        <v>43</v>
      </c>
      <c r="F122" s="3">
        <v>386</v>
      </c>
      <c r="G122" s="5" t="s">
        <v>46</v>
      </c>
      <c r="H122" s="5" t="s">
        <v>35</v>
      </c>
      <c r="I122" s="5" t="s">
        <v>27</v>
      </c>
      <c r="J122" s="5" t="s">
        <v>50</v>
      </c>
      <c r="K122" s="3">
        <v>80</v>
      </c>
      <c r="L122" s="11">
        <f>jewels[[#This Row],[Unit Price]]/(1+40%)</f>
        <v>3122346.4285714286</v>
      </c>
      <c r="M122" s="11">
        <v>4371285</v>
      </c>
      <c r="N122" s="3">
        <v>1</v>
      </c>
      <c r="O122" s="11">
        <f>jewels[[#This Row],[Cost ]]*jewels[[#This Row],[Sales_Qty]]</f>
        <v>3122346.4285714286</v>
      </c>
      <c r="P122" s="11">
        <v>4371285</v>
      </c>
      <c r="Q122" s="11">
        <f>jewels[[#This Row],[Total Sales Value]]-jewels[[#This Row],[Cost Per Unit]]</f>
        <v>1248938.5714285714</v>
      </c>
      <c r="R122" s="13">
        <f>jewels[[#This Row],[Profit]]/jewels[[#This Row],[Cost Per Unit]]</f>
        <v>0.39999999999999997</v>
      </c>
    </row>
    <row r="123" spans="1:18" x14ac:dyDescent="0.25">
      <c r="A123" s="3">
        <v>122</v>
      </c>
      <c r="B123" s="4">
        <v>45058</v>
      </c>
      <c r="C123" s="3">
        <v>2023</v>
      </c>
      <c r="D123" s="3">
        <v>5</v>
      </c>
      <c r="E123" s="5" t="s">
        <v>53</v>
      </c>
      <c r="F123" s="3">
        <v>293</v>
      </c>
      <c r="G123" s="5" t="s">
        <v>48</v>
      </c>
      <c r="H123" s="5" t="s">
        <v>16</v>
      </c>
      <c r="I123" s="5" t="s">
        <v>27</v>
      </c>
      <c r="J123" s="5" t="s">
        <v>32</v>
      </c>
      <c r="K123" s="3">
        <v>50</v>
      </c>
      <c r="L123" s="11">
        <f>jewels[[#This Row],[Unit Price]]/(1+40%)</f>
        <v>4935551.4285714291</v>
      </c>
      <c r="M123" s="11">
        <v>6909772</v>
      </c>
      <c r="N123" s="3">
        <v>8</v>
      </c>
      <c r="O123" s="11">
        <f>jewels[[#This Row],[Cost ]]*jewels[[#This Row],[Sales_Qty]]</f>
        <v>39484411.428571433</v>
      </c>
      <c r="P123" s="11">
        <v>55278176</v>
      </c>
      <c r="Q123" s="11">
        <f>jewels[[#This Row],[Total Sales Value]]-jewels[[#This Row],[Cost Per Unit]]</f>
        <v>15793764.571428567</v>
      </c>
      <c r="R123" s="13">
        <f>jewels[[#This Row],[Profit]]/jewels[[#This Row],[Cost Per Unit]]</f>
        <v>0.39999999999999986</v>
      </c>
    </row>
    <row r="124" spans="1:18" x14ac:dyDescent="0.25">
      <c r="A124" s="3">
        <v>123</v>
      </c>
      <c r="B124" s="4">
        <v>45064</v>
      </c>
      <c r="C124" s="3">
        <v>2023</v>
      </c>
      <c r="D124" s="3">
        <v>5</v>
      </c>
      <c r="E124" s="5" t="s">
        <v>53</v>
      </c>
      <c r="F124" s="3">
        <v>311</v>
      </c>
      <c r="G124" s="5" t="s">
        <v>38</v>
      </c>
      <c r="H124" s="5" t="s">
        <v>35</v>
      </c>
      <c r="I124" s="5" t="s">
        <v>22</v>
      </c>
      <c r="J124" s="5" t="s">
        <v>32</v>
      </c>
      <c r="K124" s="3">
        <v>59</v>
      </c>
      <c r="L124" s="11">
        <f>jewels[[#This Row],[Unit Price]]/(1+40%)</f>
        <v>6972869.2857142864</v>
      </c>
      <c r="M124" s="11">
        <v>9762017</v>
      </c>
      <c r="N124" s="3">
        <v>6</v>
      </c>
      <c r="O124" s="11">
        <f>jewels[[#This Row],[Cost ]]*jewels[[#This Row],[Sales_Qty]]</f>
        <v>41837215.714285716</v>
      </c>
      <c r="P124" s="11">
        <v>58572102</v>
      </c>
      <c r="Q124" s="11">
        <f>jewels[[#This Row],[Total Sales Value]]-jewels[[#This Row],[Cost Per Unit]]</f>
        <v>16734886.285714284</v>
      </c>
      <c r="R124" s="13">
        <f>jewels[[#This Row],[Profit]]/jewels[[#This Row],[Cost Per Unit]]</f>
        <v>0.39999999999999991</v>
      </c>
    </row>
    <row r="125" spans="1:18" x14ac:dyDescent="0.25">
      <c r="A125" s="3">
        <v>124</v>
      </c>
      <c r="B125" s="4">
        <v>45184</v>
      </c>
      <c r="C125" s="3">
        <v>2023</v>
      </c>
      <c r="D125" s="3">
        <v>9</v>
      </c>
      <c r="E125" s="5" t="s">
        <v>33</v>
      </c>
      <c r="F125" s="3">
        <v>329</v>
      </c>
      <c r="G125" s="5" t="s">
        <v>42</v>
      </c>
      <c r="H125" s="5" t="s">
        <v>26</v>
      </c>
      <c r="I125" s="5" t="s">
        <v>27</v>
      </c>
      <c r="J125" s="5" t="s">
        <v>50</v>
      </c>
      <c r="K125" s="3">
        <v>70</v>
      </c>
      <c r="L125" s="11">
        <f>jewels[[#This Row],[Unit Price]]/(1+40%)</f>
        <v>2923585</v>
      </c>
      <c r="M125" s="11">
        <v>4093019</v>
      </c>
      <c r="N125" s="3">
        <v>6</v>
      </c>
      <c r="O125" s="11">
        <f>jewels[[#This Row],[Cost ]]*jewels[[#This Row],[Sales_Qty]]</f>
        <v>17541510</v>
      </c>
      <c r="P125" s="11">
        <v>24558114</v>
      </c>
      <c r="Q125" s="11">
        <f>jewels[[#This Row],[Total Sales Value]]-jewels[[#This Row],[Cost Per Unit]]</f>
        <v>7016604</v>
      </c>
      <c r="R125" s="13">
        <f>jewels[[#This Row],[Profit]]/jewels[[#This Row],[Cost Per Unit]]</f>
        <v>0.4</v>
      </c>
    </row>
    <row r="126" spans="1:18" x14ac:dyDescent="0.25">
      <c r="A126" s="3">
        <v>125</v>
      </c>
      <c r="B126" s="4">
        <v>44371</v>
      </c>
      <c r="C126" s="3">
        <v>2021</v>
      </c>
      <c r="D126" s="3">
        <v>6</v>
      </c>
      <c r="E126" s="5" t="s">
        <v>14</v>
      </c>
      <c r="F126" s="3">
        <v>56</v>
      </c>
      <c r="G126" s="5" t="s">
        <v>46</v>
      </c>
      <c r="H126" s="5" t="s">
        <v>35</v>
      </c>
      <c r="I126" s="5" t="s">
        <v>22</v>
      </c>
      <c r="J126" s="5" t="s">
        <v>47</v>
      </c>
      <c r="K126" s="3">
        <v>77</v>
      </c>
      <c r="L126" s="11">
        <f>jewels[[#This Row],[Unit Price]]/(1+40%)</f>
        <v>2905671.4285714286</v>
      </c>
      <c r="M126" s="11">
        <v>4067940</v>
      </c>
      <c r="N126" s="3">
        <v>6</v>
      </c>
      <c r="O126" s="11">
        <f>jewels[[#This Row],[Cost ]]*jewels[[#This Row],[Sales_Qty]]</f>
        <v>17434028.571428571</v>
      </c>
      <c r="P126" s="11">
        <v>24407640</v>
      </c>
      <c r="Q126" s="11">
        <f>jewels[[#This Row],[Total Sales Value]]-jewels[[#This Row],[Cost Per Unit]]</f>
        <v>6973611.4285714291</v>
      </c>
      <c r="R126" s="13">
        <f>jewels[[#This Row],[Profit]]/jewels[[#This Row],[Cost Per Unit]]</f>
        <v>0.4</v>
      </c>
    </row>
    <row r="127" spans="1:18" x14ac:dyDescent="0.25">
      <c r="A127" s="3">
        <v>126</v>
      </c>
      <c r="B127" s="4">
        <v>43925</v>
      </c>
      <c r="C127" s="3">
        <v>2020</v>
      </c>
      <c r="D127" s="3">
        <v>4</v>
      </c>
      <c r="E127" s="5" t="s">
        <v>24</v>
      </c>
      <c r="F127" s="3">
        <v>138</v>
      </c>
      <c r="G127" s="5" t="s">
        <v>42</v>
      </c>
      <c r="H127" s="5" t="s">
        <v>26</v>
      </c>
      <c r="I127" s="5" t="s">
        <v>22</v>
      </c>
      <c r="J127" s="5" t="s">
        <v>18</v>
      </c>
      <c r="K127" s="3">
        <v>80</v>
      </c>
      <c r="L127" s="11">
        <f>jewels[[#This Row],[Unit Price]]/(1+40%)</f>
        <v>790938.57142857148</v>
      </c>
      <c r="M127" s="11">
        <v>1107314</v>
      </c>
      <c r="N127" s="3">
        <v>1</v>
      </c>
      <c r="O127" s="11">
        <f>jewels[[#This Row],[Cost ]]*jewels[[#This Row],[Sales_Qty]]</f>
        <v>790938.57142857148</v>
      </c>
      <c r="P127" s="11">
        <v>1107314</v>
      </c>
      <c r="Q127" s="11">
        <f>jewels[[#This Row],[Total Sales Value]]-jewels[[#This Row],[Cost Per Unit]]</f>
        <v>316375.42857142852</v>
      </c>
      <c r="R127" s="13">
        <f>jewels[[#This Row],[Profit]]/jewels[[#This Row],[Cost Per Unit]]</f>
        <v>0.39999999999999991</v>
      </c>
    </row>
    <row r="128" spans="1:18" x14ac:dyDescent="0.25">
      <c r="A128" s="3">
        <v>127</v>
      </c>
      <c r="B128" s="4">
        <v>44119</v>
      </c>
      <c r="C128" s="3">
        <v>2020</v>
      </c>
      <c r="D128" s="3">
        <v>10</v>
      </c>
      <c r="E128" s="5" t="s">
        <v>61</v>
      </c>
      <c r="F128" s="3">
        <v>325</v>
      </c>
      <c r="G128" s="5" t="s">
        <v>65</v>
      </c>
      <c r="H128" s="5" t="s">
        <v>56</v>
      </c>
      <c r="I128" s="5" t="s">
        <v>27</v>
      </c>
      <c r="J128" s="5" t="s">
        <v>50</v>
      </c>
      <c r="K128" s="3">
        <v>70</v>
      </c>
      <c r="L128" s="11">
        <f>jewels[[#This Row],[Unit Price]]/(1+40%)</f>
        <v>1380204.2857142859</v>
      </c>
      <c r="M128" s="11">
        <v>1932286</v>
      </c>
      <c r="N128" s="3">
        <v>7</v>
      </c>
      <c r="O128" s="11">
        <f>jewels[[#This Row],[Cost ]]*jewels[[#This Row],[Sales_Qty]]</f>
        <v>9661430.0000000019</v>
      </c>
      <c r="P128" s="11">
        <v>13526002</v>
      </c>
      <c r="Q128" s="11">
        <f>jewels[[#This Row],[Total Sales Value]]-jewels[[#This Row],[Cost Per Unit]]</f>
        <v>3864571.9999999981</v>
      </c>
      <c r="R128" s="13">
        <f>jewels[[#This Row],[Profit]]/jewels[[#This Row],[Cost Per Unit]]</f>
        <v>0.39999999999999974</v>
      </c>
    </row>
    <row r="129" spans="1:18" x14ac:dyDescent="0.25">
      <c r="A129" s="3">
        <v>128</v>
      </c>
      <c r="B129" s="4">
        <v>44879</v>
      </c>
      <c r="C129" s="3">
        <v>2022</v>
      </c>
      <c r="D129" s="3">
        <v>11</v>
      </c>
      <c r="E129" s="5" t="s">
        <v>58</v>
      </c>
      <c r="F129" s="3">
        <v>474</v>
      </c>
      <c r="G129" s="5" t="s">
        <v>46</v>
      </c>
      <c r="H129" s="5" t="s">
        <v>35</v>
      </c>
      <c r="I129" s="5" t="s">
        <v>17</v>
      </c>
      <c r="J129" s="5" t="s">
        <v>28</v>
      </c>
      <c r="K129" s="3">
        <v>70</v>
      </c>
      <c r="L129" s="11">
        <f>jewels[[#This Row],[Unit Price]]/(1+40%)</f>
        <v>1509942.8571428573</v>
      </c>
      <c r="M129" s="11">
        <v>2113920</v>
      </c>
      <c r="N129" s="3">
        <v>7</v>
      </c>
      <c r="O129" s="11">
        <f>jewels[[#This Row],[Cost ]]*jewels[[#This Row],[Sales_Qty]]</f>
        <v>10569600</v>
      </c>
      <c r="P129" s="11">
        <v>14797440</v>
      </c>
      <c r="Q129" s="11">
        <f>jewels[[#This Row],[Total Sales Value]]-jewels[[#This Row],[Cost Per Unit]]</f>
        <v>4227840</v>
      </c>
      <c r="R129" s="13">
        <f>jewels[[#This Row],[Profit]]/jewels[[#This Row],[Cost Per Unit]]</f>
        <v>0.4</v>
      </c>
    </row>
    <row r="130" spans="1:18" x14ac:dyDescent="0.25">
      <c r="A130" s="3">
        <v>129</v>
      </c>
      <c r="B130" s="4">
        <v>45281</v>
      </c>
      <c r="C130" s="3">
        <v>2023</v>
      </c>
      <c r="D130" s="3">
        <v>12</v>
      </c>
      <c r="E130" s="5" t="s">
        <v>37</v>
      </c>
      <c r="F130" s="3">
        <v>403</v>
      </c>
      <c r="G130" s="5" t="s">
        <v>64</v>
      </c>
      <c r="H130" s="5" t="s">
        <v>26</v>
      </c>
      <c r="I130" s="5" t="s">
        <v>22</v>
      </c>
      <c r="J130" s="5" t="s">
        <v>18</v>
      </c>
      <c r="K130" s="3">
        <v>71</v>
      </c>
      <c r="L130" s="11">
        <f>jewels[[#This Row],[Unit Price]]/(1+40%)</f>
        <v>1658464.2857142859</v>
      </c>
      <c r="M130" s="11">
        <v>2321850</v>
      </c>
      <c r="N130" s="3">
        <v>3</v>
      </c>
      <c r="O130" s="11">
        <f>jewels[[#This Row],[Cost ]]*jewels[[#This Row],[Sales_Qty]]</f>
        <v>4975392.8571428582</v>
      </c>
      <c r="P130" s="11">
        <v>6965550</v>
      </c>
      <c r="Q130" s="11">
        <f>jewels[[#This Row],[Total Sales Value]]-jewels[[#This Row],[Cost Per Unit]]</f>
        <v>1990157.1428571418</v>
      </c>
      <c r="R130" s="13">
        <f>jewels[[#This Row],[Profit]]/jewels[[#This Row],[Cost Per Unit]]</f>
        <v>0.39999999999999969</v>
      </c>
    </row>
    <row r="131" spans="1:18" x14ac:dyDescent="0.25">
      <c r="A131" s="3">
        <v>130</v>
      </c>
      <c r="B131" s="4">
        <v>45306</v>
      </c>
      <c r="C131" s="3">
        <v>2024</v>
      </c>
      <c r="D131" s="3">
        <v>1</v>
      </c>
      <c r="E131" s="5" t="s">
        <v>41</v>
      </c>
      <c r="F131" s="3">
        <v>293</v>
      </c>
      <c r="G131" s="5" t="s">
        <v>36</v>
      </c>
      <c r="H131" s="5" t="s">
        <v>16</v>
      </c>
      <c r="I131" s="5" t="s">
        <v>27</v>
      </c>
      <c r="J131" s="5" t="s">
        <v>50</v>
      </c>
      <c r="K131" s="3">
        <v>64</v>
      </c>
      <c r="L131" s="11">
        <f>jewels[[#This Row],[Unit Price]]/(1+40%)</f>
        <v>2236141.4285714286</v>
      </c>
      <c r="M131" s="11">
        <v>3130598</v>
      </c>
      <c r="N131" s="3">
        <v>6</v>
      </c>
      <c r="O131" s="11">
        <f>jewels[[#This Row],[Cost ]]*jewels[[#This Row],[Sales_Qty]]</f>
        <v>13416848.571428571</v>
      </c>
      <c r="P131" s="11">
        <v>18783588</v>
      </c>
      <c r="Q131" s="11">
        <f>jewels[[#This Row],[Total Sales Value]]-jewels[[#This Row],[Cost Per Unit]]</f>
        <v>5366739.4285714291</v>
      </c>
      <c r="R131" s="13">
        <f>jewels[[#This Row],[Profit]]/jewels[[#This Row],[Cost Per Unit]]</f>
        <v>0.40000000000000008</v>
      </c>
    </row>
    <row r="132" spans="1:18" x14ac:dyDescent="0.25">
      <c r="A132" s="3">
        <v>131</v>
      </c>
      <c r="B132" s="4">
        <v>44320</v>
      </c>
      <c r="C132" s="3">
        <v>2021</v>
      </c>
      <c r="D132" s="3">
        <v>5</v>
      </c>
      <c r="E132" s="5" t="s">
        <v>53</v>
      </c>
      <c r="F132" s="3">
        <v>174</v>
      </c>
      <c r="G132" s="5" t="s">
        <v>46</v>
      </c>
      <c r="H132" s="5" t="s">
        <v>35</v>
      </c>
      <c r="I132" s="5" t="s">
        <v>22</v>
      </c>
      <c r="J132" s="5" t="s">
        <v>47</v>
      </c>
      <c r="K132" s="3">
        <v>60</v>
      </c>
      <c r="L132" s="11">
        <f>jewels[[#This Row],[Unit Price]]/(1+40%)</f>
        <v>2692526.4285714286</v>
      </c>
      <c r="M132" s="11">
        <v>3769537</v>
      </c>
      <c r="N132" s="3">
        <v>10</v>
      </c>
      <c r="O132" s="11">
        <f>jewels[[#This Row],[Cost ]]*jewels[[#This Row],[Sales_Qty]]</f>
        <v>26925264.285714287</v>
      </c>
      <c r="P132" s="11">
        <v>37695370</v>
      </c>
      <c r="Q132" s="11">
        <f>jewels[[#This Row],[Total Sales Value]]-jewels[[#This Row],[Cost Per Unit]]</f>
        <v>10770105.714285713</v>
      </c>
      <c r="R132" s="13">
        <f>jewels[[#This Row],[Profit]]/jewels[[#This Row],[Cost Per Unit]]</f>
        <v>0.39999999999999991</v>
      </c>
    </row>
    <row r="133" spans="1:18" x14ac:dyDescent="0.25">
      <c r="A133" s="3">
        <v>132</v>
      </c>
      <c r="B133" s="4">
        <v>43980</v>
      </c>
      <c r="C133" s="3">
        <v>2020</v>
      </c>
      <c r="D133" s="3">
        <v>5</v>
      </c>
      <c r="E133" s="5" t="s">
        <v>53</v>
      </c>
      <c r="F133" s="3">
        <v>152</v>
      </c>
      <c r="G133" s="5" t="s">
        <v>31</v>
      </c>
      <c r="H133" s="5" t="s">
        <v>26</v>
      </c>
      <c r="I133" s="5" t="s">
        <v>29</v>
      </c>
      <c r="J133" s="5" t="s">
        <v>30</v>
      </c>
      <c r="K133" s="3">
        <v>91</v>
      </c>
      <c r="L133" s="11">
        <f>jewels[[#This Row],[Unit Price]]/(1+40%)</f>
        <v>3554289.2857142859</v>
      </c>
      <c r="M133" s="11">
        <v>4976005</v>
      </c>
      <c r="N133" s="3">
        <v>10</v>
      </c>
      <c r="O133" s="11">
        <f>jewels[[#This Row],[Cost ]]*jewels[[#This Row],[Sales_Qty]]</f>
        <v>35542892.857142858</v>
      </c>
      <c r="P133" s="11">
        <v>49760050</v>
      </c>
      <c r="Q133" s="11">
        <f>jewels[[#This Row],[Total Sales Value]]-jewels[[#This Row],[Cost Per Unit]]</f>
        <v>14217157.142857142</v>
      </c>
      <c r="R133" s="13">
        <f>jewels[[#This Row],[Profit]]/jewels[[#This Row],[Cost Per Unit]]</f>
        <v>0.39999999999999997</v>
      </c>
    </row>
    <row r="134" spans="1:18" x14ac:dyDescent="0.25">
      <c r="A134" s="3">
        <v>133</v>
      </c>
      <c r="B134" s="4">
        <v>45133</v>
      </c>
      <c r="C134" s="3">
        <v>2023</v>
      </c>
      <c r="D134" s="3">
        <v>7</v>
      </c>
      <c r="E134" s="5" t="s">
        <v>49</v>
      </c>
      <c r="F134" s="3">
        <v>433</v>
      </c>
      <c r="G134" s="5" t="s">
        <v>55</v>
      </c>
      <c r="H134" s="5" t="s">
        <v>56</v>
      </c>
      <c r="I134" s="5" t="s">
        <v>22</v>
      </c>
      <c r="J134" s="5" t="s">
        <v>28</v>
      </c>
      <c r="K134" s="3">
        <v>93</v>
      </c>
      <c r="L134" s="11">
        <f>jewels[[#This Row],[Unit Price]]/(1+40%)</f>
        <v>4538340</v>
      </c>
      <c r="M134" s="11">
        <v>6353676</v>
      </c>
      <c r="N134" s="3">
        <v>7</v>
      </c>
      <c r="O134" s="11">
        <f>jewels[[#This Row],[Cost ]]*jewels[[#This Row],[Sales_Qty]]</f>
        <v>31768380</v>
      </c>
      <c r="P134" s="11">
        <v>44475732</v>
      </c>
      <c r="Q134" s="11">
        <f>jewels[[#This Row],[Total Sales Value]]-jewels[[#This Row],[Cost Per Unit]]</f>
        <v>12707352</v>
      </c>
      <c r="R134" s="13">
        <f>jewels[[#This Row],[Profit]]/jewels[[#This Row],[Cost Per Unit]]</f>
        <v>0.4</v>
      </c>
    </row>
    <row r="135" spans="1:18" x14ac:dyDescent="0.25">
      <c r="A135" s="3">
        <v>134</v>
      </c>
      <c r="B135" s="4">
        <v>44201</v>
      </c>
      <c r="C135" s="3">
        <v>2021</v>
      </c>
      <c r="D135" s="3">
        <v>1</v>
      </c>
      <c r="E135" s="5" t="s">
        <v>41</v>
      </c>
      <c r="F135" s="3">
        <v>353</v>
      </c>
      <c r="G135" s="5" t="s">
        <v>34</v>
      </c>
      <c r="H135" s="5" t="s">
        <v>35</v>
      </c>
      <c r="I135" s="5" t="s">
        <v>40</v>
      </c>
      <c r="J135" s="5" t="s">
        <v>28</v>
      </c>
      <c r="K135" s="3">
        <v>53</v>
      </c>
      <c r="L135" s="11">
        <f>jewels[[#This Row],[Unit Price]]/(1+40%)</f>
        <v>3916670.0000000005</v>
      </c>
      <c r="M135" s="11">
        <v>5483338</v>
      </c>
      <c r="N135" s="3">
        <v>9</v>
      </c>
      <c r="O135" s="11">
        <f>jewels[[#This Row],[Cost ]]*jewels[[#This Row],[Sales_Qty]]</f>
        <v>35250030.000000007</v>
      </c>
      <c r="P135" s="11">
        <v>49350042</v>
      </c>
      <c r="Q135" s="11">
        <f>jewels[[#This Row],[Total Sales Value]]-jewels[[#This Row],[Cost Per Unit]]</f>
        <v>14100011.999999993</v>
      </c>
      <c r="R135" s="13">
        <f>jewels[[#This Row],[Profit]]/jewels[[#This Row],[Cost Per Unit]]</f>
        <v>0.39999999999999969</v>
      </c>
    </row>
    <row r="136" spans="1:18" x14ac:dyDescent="0.25">
      <c r="A136" s="3">
        <v>135</v>
      </c>
      <c r="B136" s="4">
        <v>44379</v>
      </c>
      <c r="C136" s="3">
        <v>2021</v>
      </c>
      <c r="D136" s="3">
        <v>7</v>
      </c>
      <c r="E136" s="5" t="s">
        <v>49</v>
      </c>
      <c r="F136" s="3">
        <v>364</v>
      </c>
      <c r="G136" s="5" t="s">
        <v>46</v>
      </c>
      <c r="H136" s="5" t="s">
        <v>35</v>
      </c>
      <c r="I136" s="5" t="s">
        <v>22</v>
      </c>
      <c r="J136" s="5" t="s">
        <v>32</v>
      </c>
      <c r="K136" s="3">
        <v>68</v>
      </c>
      <c r="L136" s="11">
        <f>jewels[[#This Row],[Unit Price]]/(1+40%)</f>
        <v>1629874.2857142859</v>
      </c>
      <c r="M136" s="11">
        <v>2281824</v>
      </c>
      <c r="N136" s="3">
        <v>7</v>
      </c>
      <c r="O136" s="11">
        <f>jewels[[#This Row],[Cost ]]*jewels[[#This Row],[Sales_Qty]]</f>
        <v>11409120.000000002</v>
      </c>
      <c r="P136" s="11">
        <v>15972768</v>
      </c>
      <c r="Q136" s="11">
        <f>jewels[[#This Row],[Total Sales Value]]-jewels[[#This Row],[Cost Per Unit]]</f>
        <v>4563647.9999999981</v>
      </c>
      <c r="R136" s="13">
        <f>jewels[[#This Row],[Profit]]/jewels[[#This Row],[Cost Per Unit]]</f>
        <v>0.39999999999999974</v>
      </c>
    </row>
    <row r="137" spans="1:18" x14ac:dyDescent="0.25">
      <c r="A137" s="3">
        <v>136</v>
      </c>
      <c r="B137" s="4">
        <v>44167</v>
      </c>
      <c r="C137" s="3">
        <v>2020</v>
      </c>
      <c r="D137" s="3">
        <v>12</v>
      </c>
      <c r="E137" s="5" t="s">
        <v>37</v>
      </c>
      <c r="F137" s="3">
        <v>397</v>
      </c>
      <c r="G137" s="5" t="s">
        <v>52</v>
      </c>
      <c r="H137" s="5" t="s">
        <v>21</v>
      </c>
      <c r="I137" s="5" t="s">
        <v>27</v>
      </c>
      <c r="J137" s="5" t="s">
        <v>44</v>
      </c>
      <c r="K137" s="3">
        <v>51</v>
      </c>
      <c r="L137" s="11">
        <f>jewels[[#This Row],[Unit Price]]/(1+40%)</f>
        <v>2839525</v>
      </c>
      <c r="M137" s="11">
        <v>3975335</v>
      </c>
      <c r="N137" s="3">
        <v>6</v>
      </c>
      <c r="O137" s="11">
        <f>jewels[[#This Row],[Cost ]]*jewels[[#This Row],[Sales_Qty]]</f>
        <v>17037150</v>
      </c>
      <c r="P137" s="11">
        <v>23852010</v>
      </c>
      <c r="Q137" s="11">
        <f>jewels[[#This Row],[Total Sales Value]]-jewels[[#This Row],[Cost Per Unit]]</f>
        <v>6814860</v>
      </c>
      <c r="R137" s="13">
        <f>jewels[[#This Row],[Profit]]/jewels[[#This Row],[Cost Per Unit]]</f>
        <v>0.4</v>
      </c>
    </row>
    <row r="138" spans="1:18" x14ac:dyDescent="0.25">
      <c r="A138" s="3">
        <v>137</v>
      </c>
      <c r="B138" s="4">
        <v>44296</v>
      </c>
      <c r="C138" s="3">
        <v>2021</v>
      </c>
      <c r="D138" s="3">
        <v>4</v>
      </c>
      <c r="E138" s="5" t="s">
        <v>24</v>
      </c>
      <c r="F138" s="3">
        <v>179</v>
      </c>
      <c r="G138" s="5" t="s">
        <v>54</v>
      </c>
      <c r="H138" s="5" t="s">
        <v>21</v>
      </c>
      <c r="I138" s="5" t="s">
        <v>27</v>
      </c>
      <c r="J138" s="5" t="s">
        <v>23</v>
      </c>
      <c r="K138" s="3">
        <v>80</v>
      </c>
      <c r="L138" s="11">
        <f>jewels[[#This Row],[Unit Price]]/(1+40%)</f>
        <v>4514395.7142857146</v>
      </c>
      <c r="M138" s="11">
        <v>6320154</v>
      </c>
      <c r="N138" s="3">
        <v>9</v>
      </c>
      <c r="O138" s="11">
        <f>jewels[[#This Row],[Cost ]]*jewels[[#This Row],[Sales_Qty]]</f>
        <v>40629561.428571433</v>
      </c>
      <c r="P138" s="11">
        <v>56881386</v>
      </c>
      <c r="Q138" s="11">
        <f>jewels[[#This Row],[Total Sales Value]]-jewels[[#This Row],[Cost Per Unit]]</f>
        <v>16251824.571428567</v>
      </c>
      <c r="R138" s="13">
        <f>jewels[[#This Row],[Profit]]/jewels[[#This Row],[Cost Per Unit]]</f>
        <v>0.39999999999999986</v>
      </c>
    </row>
    <row r="139" spans="1:18" x14ac:dyDescent="0.25">
      <c r="A139" s="3">
        <v>138</v>
      </c>
      <c r="B139" s="4">
        <v>45311</v>
      </c>
      <c r="C139" s="3">
        <v>2024</v>
      </c>
      <c r="D139" s="3">
        <v>1</v>
      </c>
      <c r="E139" s="5" t="s">
        <v>41</v>
      </c>
      <c r="F139" s="3">
        <v>107</v>
      </c>
      <c r="G139" s="5" t="s">
        <v>15</v>
      </c>
      <c r="H139" s="5" t="s">
        <v>16</v>
      </c>
      <c r="I139" s="5" t="s">
        <v>29</v>
      </c>
      <c r="J139" s="5" t="s">
        <v>50</v>
      </c>
      <c r="K139" s="3">
        <v>82</v>
      </c>
      <c r="L139" s="11">
        <f>jewels[[#This Row],[Unit Price]]/(1+40%)</f>
        <v>6184243.5714285718</v>
      </c>
      <c r="M139" s="11">
        <v>8657941</v>
      </c>
      <c r="N139" s="3">
        <v>5</v>
      </c>
      <c r="O139" s="11">
        <f>jewels[[#This Row],[Cost ]]*jewels[[#This Row],[Sales_Qty]]</f>
        <v>30921217.857142858</v>
      </c>
      <c r="P139" s="11">
        <v>43289705</v>
      </c>
      <c r="Q139" s="11">
        <f>jewels[[#This Row],[Total Sales Value]]-jewels[[#This Row],[Cost Per Unit]]</f>
        <v>12368487.142857142</v>
      </c>
      <c r="R139" s="13">
        <f>jewels[[#This Row],[Profit]]/jewels[[#This Row],[Cost Per Unit]]</f>
        <v>0.39999999999999997</v>
      </c>
    </row>
    <row r="140" spans="1:18" x14ac:dyDescent="0.25">
      <c r="A140" s="3">
        <v>139</v>
      </c>
      <c r="B140" s="4">
        <v>45052</v>
      </c>
      <c r="C140" s="3">
        <v>2023</v>
      </c>
      <c r="D140" s="3">
        <v>5</v>
      </c>
      <c r="E140" s="5" t="s">
        <v>53</v>
      </c>
      <c r="F140" s="3">
        <v>264</v>
      </c>
      <c r="G140" s="5" t="s">
        <v>15</v>
      </c>
      <c r="H140" s="5" t="s">
        <v>16</v>
      </c>
      <c r="I140" s="5" t="s">
        <v>40</v>
      </c>
      <c r="J140" s="5" t="s">
        <v>32</v>
      </c>
      <c r="K140" s="3">
        <v>97</v>
      </c>
      <c r="L140" s="11">
        <f>jewels[[#This Row],[Unit Price]]/(1+40%)</f>
        <v>4733778.5714285718</v>
      </c>
      <c r="M140" s="11">
        <v>6627290</v>
      </c>
      <c r="N140" s="3">
        <v>5</v>
      </c>
      <c r="O140" s="11">
        <f>jewels[[#This Row],[Cost ]]*jewels[[#This Row],[Sales_Qty]]</f>
        <v>23668892.857142858</v>
      </c>
      <c r="P140" s="11">
        <v>33136450</v>
      </c>
      <c r="Q140" s="11">
        <f>jewels[[#This Row],[Total Sales Value]]-jewels[[#This Row],[Cost Per Unit]]</f>
        <v>9467557.1428571418</v>
      </c>
      <c r="R140" s="13">
        <f>jewels[[#This Row],[Profit]]/jewels[[#This Row],[Cost Per Unit]]</f>
        <v>0.39999999999999991</v>
      </c>
    </row>
    <row r="141" spans="1:18" x14ac:dyDescent="0.25">
      <c r="A141" s="3">
        <v>140</v>
      </c>
      <c r="B141" s="4">
        <v>45252</v>
      </c>
      <c r="C141" s="3">
        <v>2023</v>
      </c>
      <c r="D141" s="3">
        <v>11</v>
      </c>
      <c r="E141" s="5" t="s">
        <v>58</v>
      </c>
      <c r="F141" s="3">
        <v>97</v>
      </c>
      <c r="G141" s="5" t="s">
        <v>25</v>
      </c>
      <c r="H141" s="5" t="s">
        <v>26</v>
      </c>
      <c r="I141" s="5" t="s">
        <v>29</v>
      </c>
      <c r="J141" s="5" t="s">
        <v>50</v>
      </c>
      <c r="K141" s="3">
        <v>74</v>
      </c>
      <c r="L141" s="11">
        <f>jewels[[#This Row],[Unit Price]]/(1+40%)</f>
        <v>4940695</v>
      </c>
      <c r="M141" s="11">
        <v>6916973</v>
      </c>
      <c r="N141" s="3">
        <v>10</v>
      </c>
      <c r="O141" s="11">
        <f>jewels[[#This Row],[Cost ]]*jewels[[#This Row],[Sales_Qty]]</f>
        <v>49406950</v>
      </c>
      <c r="P141" s="11">
        <v>69169730</v>
      </c>
      <c r="Q141" s="11">
        <f>jewels[[#This Row],[Total Sales Value]]-jewels[[#This Row],[Cost Per Unit]]</f>
        <v>19762780</v>
      </c>
      <c r="R141" s="13">
        <f>jewels[[#This Row],[Profit]]/jewels[[#This Row],[Cost Per Unit]]</f>
        <v>0.4</v>
      </c>
    </row>
    <row r="142" spans="1:18" x14ac:dyDescent="0.25">
      <c r="A142" s="3">
        <v>141</v>
      </c>
      <c r="B142" s="4">
        <v>45172</v>
      </c>
      <c r="C142" s="3">
        <v>2023</v>
      </c>
      <c r="D142" s="3">
        <v>9</v>
      </c>
      <c r="E142" s="5" t="s">
        <v>33</v>
      </c>
      <c r="F142" s="3">
        <v>471</v>
      </c>
      <c r="G142" s="5" t="s">
        <v>62</v>
      </c>
      <c r="H142" s="5" t="s">
        <v>56</v>
      </c>
      <c r="I142" s="5" t="s">
        <v>17</v>
      </c>
      <c r="J142" s="5" t="s">
        <v>23</v>
      </c>
      <c r="K142" s="3">
        <v>96</v>
      </c>
      <c r="L142" s="11">
        <f>jewels[[#This Row],[Unit Price]]/(1+40%)</f>
        <v>2764625</v>
      </c>
      <c r="M142" s="11">
        <v>3870475</v>
      </c>
      <c r="N142" s="3">
        <v>4</v>
      </c>
      <c r="O142" s="11">
        <f>jewels[[#This Row],[Cost ]]*jewels[[#This Row],[Sales_Qty]]</f>
        <v>11058500</v>
      </c>
      <c r="P142" s="11">
        <v>15481900</v>
      </c>
      <c r="Q142" s="11">
        <f>jewels[[#This Row],[Total Sales Value]]-jewels[[#This Row],[Cost Per Unit]]</f>
        <v>4423400</v>
      </c>
      <c r="R142" s="13">
        <f>jewels[[#This Row],[Profit]]/jewels[[#This Row],[Cost Per Unit]]</f>
        <v>0.4</v>
      </c>
    </row>
    <row r="143" spans="1:18" x14ac:dyDescent="0.25">
      <c r="A143" s="3">
        <v>142</v>
      </c>
      <c r="B143" s="4">
        <v>45320</v>
      </c>
      <c r="C143" s="3">
        <v>2024</v>
      </c>
      <c r="D143" s="3">
        <v>1</v>
      </c>
      <c r="E143" s="5" t="s">
        <v>41</v>
      </c>
      <c r="F143" s="3">
        <v>170</v>
      </c>
      <c r="G143" s="5" t="s">
        <v>38</v>
      </c>
      <c r="H143" s="5" t="s">
        <v>35</v>
      </c>
      <c r="I143" s="5" t="s">
        <v>22</v>
      </c>
      <c r="J143" s="5" t="s">
        <v>23</v>
      </c>
      <c r="K143" s="3">
        <v>76</v>
      </c>
      <c r="L143" s="11">
        <f>jewels[[#This Row],[Unit Price]]/(1+40%)</f>
        <v>5516716.4285714291</v>
      </c>
      <c r="M143" s="11">
        <v>7723403</v>
      </c>
      <c r="N143" s="3">
        <v>2</v>
      </c>
      <c r="O143" s="11">
        <f>jewels[[#This Row],[Cost ]]*jewels[[#This Row],[Sales_Qty]]</f>
        <v>11033432.857142858</v>
      </c>
      <c r="P143" s="11">
        <v>15446806</v>
      </c>
      <c r="Q143" s="11">
        <f>jewels[[#This Row],[Total Sales Value]]-jewels[[#This Row],[Cost Per Unit]]</f>
        <v>4413373.1428571418</v>
      </c>
      <c r="R143" s="13">
        <f>jewels[[#This Row],[Profit]]/jewels[[#This Row],[Cost Per Unit]]</f>
        <v>0.39999999999999986</v>
      </c>
    </row>
    <row r="144" spans="1:18" x14ac:dyDescent="0.25">
      <c r="A144" s="3">
        <v>143</v>
      </c>
      <c r="B144" s="4">
        <v>44858</v>
      </c>
      <c r="C144" s="3">
        <v>2022</v>
      </c>
      <c r="D144" s="3">
        <v>10</v>
      </c>
      <c r="E144" s="5" t="s">
        <v>61</v>
      </c>
      <c r="F144" s="3">
        <v>8</v>
      </c>
      <c r="G144" s="5" t="s">
        <v>20</v>
      </c>
      <c r="H144" s="5" t="s">
        <v>21</v>
      </c>
      <c r="I144" s="5" t="s">
        <v>29</v>
      </c>
      <c r="J144" s="5" t="s">
        <v>28</v>
      </c>
      <c r="K144" s="3">
        <v>79</v>
      </c>
      <c r="L144" s="11">
        <f>jewels[[#This Row],[Unit Price]]/(1+40%)</f>
        <v>565874.2857142858</v>
      </c>
      <c r="M144" s="11">
        <v>792224</v>
      </c>
      <c r="N144" s="3">
        <v>4</v>
      </c>
      <c r="O144" s="11">
        <f>jewels[[#This Row],[Cost ]]*jewels[[#This Row],[Sales_Qty]]</f>
        <v>2263497.1428571432</v>
      </c>
      <c r="P144" s="11">
        <v>3168896</v>
      </c>
      <c r="Q144" s="11">
        <f>jewels[[#This Row],[Total Sales Value]]-jewels[[#This Row],[Cost Per Unit]]</f>
        <v>905398.85714285681</v>
      </c>
      <c r="R144" s="13">
        <f>jewels[[#This Row],[Profit]]/jewels[[#This Row],[Cost Per Unit]]</f>
        <v>0.3999999999999998</v>
      </c>
    </row>
    <row r="145" spans="1:18" x14ac:dyDescent="0.25">
      <c r="A145" s="3">
        <v>144</v>
      </c>
      <c r="B145" s="4">
        <v>44662</v>
      </c>
      <c r="C145" s="3">
        <v>2022</v>
      </c>
      <c r="D145" s="3">
        <v>4</v>
      </c>
      <c r="E145" s="5" t="s">
        <v>24</v>
      </c>
      <c r="F145" s="3">
        <v>47</v>
      </c>
      <c r="G145" s="5" t="s">
        <v>25</v>
      </c>
      <c r="H145" s="5" t="s">
        <v>26</v>
      </c>
      <c r="I145" s="5" t="s">
        <v>39</v>
      </c>
      <c r="J145" s="5" t="s">
        <v>28</v>
      </c>
      <c r="K145" s="3">
        <v>67</v>
      </c>
      <c r="L145" s="11">
        <f>jewels[[#This Row],[Unit Price]]/(1+40%)</f>
        <v>720238.57142857148</v>
      </c>
      <c r="M145" s="11">
        <v>1008334</v>
      </c>
      <c r="N145" s="3">
        <v>8</v>
      </c>
      <c r="O145" s="11">
        <f>jewels[[#This Row],[Cost ]]*jewels[[#This Row],[Sales_Qty]]</f>
        <v>5761908.5714285718</v>
      </c>
      <c r="P145" s="11">
        <v>8066672</v>
      </c>
      <c r="Q145" s="11">
        <f>jewels[[#This Row],[Total Sales Value]]-jewels[[#This Row],[Cost Per Unit]]</f>
        <v>2304763.4285714282</v>
      </c>
      <c r="R145" s="13">
        <f>jewels[[#This Row],[Profit]]/jewels[[#This Row],[Cost Per Unit]]</f>
        <v>0.39999999999999991</v>
      </c>
    </row>
    <row r="146" spans="1:18" x14ac:dyDescent="0.25">
      <c r="A146" s="3">
        <v>145</v>
      </c>
      <c r="B146" s="4">
        <v>43993</v>
      </c>
      <c r="C146" s="3">
        <v>2020</v>
      </c>
      <c r="D146" s="3">
        <v>6</v>
      </c>
      <c r="E146" s="5" t="s">
        <v>14</v>
      </c>
      <c r="F146" s="3">
        <v>263</v>
      </c>
      <c r="G146" s="5" t="s">
        <v>62</v>
      </c>
      <c r="H146" s="5" t="s">
        <v>56</v>
      </c>
      <c r="I146" s="5" t="s">
        <v>22</v>
      </c>
      <c r="J146" s="5" t="s">
        <v>50</v>
      </c>
      <c r="K146" s="3">
        <v>89</v>
      </c>
      <c r="L146" s="11">
        <f>jewels[[#This Row],[Unit Price]]/(1+40%)</f>
        <v>2001356.4285714286</v>
      </c>
      <c r="M146" s="11">
        <v>2801899</v>
      </c>
      <c r="N146" s="3">
        <v>5</v>
      </c>
      <c r="O146" s="11">
        <f>jewels[[#This Row],[Cost ]]*jewels[[#This Row],[Sales_Qty]]</f>
        <v>10006782.142857144</v>
      </c>
      <c r="P146" s="11">
        <v>14009495</v>
      </c>
      <c r="Q146" s="11">
        <f>jewels[[#This Row],[Total Sales Value]]-jewels[[#This Row],[Cost Per Unit]]</f>
        <v>4002712.8571428563</v>
      </c>
      <c r="R146" s="13">
        <f>jewels[[#This Row],[Profit]]/jewels[[#This Row],[Cost Per Unit]]</f>
        <v>0.39999999999999991</v>
      </c>
    </row>
    <row r="147" spans="1:18" x14ac:dyDescent="0.25">
      <c r="A147" s="3">
        <v>146</v>
      </c>
      <c r="B147" s="4">
        <v>44009</v>
      </c>
      <c r="C147" s="3">
        <v>2020</v>
      </c>
      <c r="D147" s="3">
        <v>6</v>
      </c>
      <c r="E147" s="5" t="s">
        <v>14</v>
      </c>
      <c r="F147" s="3">
        <v>265</v>
      </c>
      <c r="G147" s="5" t="s">
        <v>38</v>
      </c>
      <c r="H147" s="5" t="s">
        <v>35</v>
      </c>
      <c r="I147" s="5" t="s">
        <v>27</v>
      </c>
      <c r="J147" s="5" t="s">
        <v>44</v>
      </c>
      <c r="K147" s="3">
        <v>82</v>
      </c>
      <c r="L147" s="11">
        <f>jewels[[#This Row],[Unit Price]]/(1+40%)</f>
        <v>6153038.5714285718</v>
      </c>
      <c r="M147" s="11">
        <v>8614254</v>
      </c>
      <c r="N147" s="3">
        <v>7</v>
      </c>
      <c r="O147" s="11">
        <f>jewels[[#This Row],[Cost ]]*jewels[[#This Row],[Sales_Qty]]</f>
        <v>43071270</v>
      </c>
      <c r="P147" s="11">
        <v>60299778</v>
      </c>
      <c r="Q147" s="11">
        <f>jewels[[#This Row],[Total Sales Value]]-jewels[[#This Row],[Cost Per Unit]]</f>
        <v>17228508</v>
      </c>
      <c r="R147" s="13">
        <f>jewels[[#This Row],[Profit]]/jewels[[#This Row],[Cost Per Unit]]</f>
        <v>0.4</v>
      </c>
    </row>
    <row r="148" spans="1:18" x14ac:dyDescent="0.25">
      <c r="A148" s="3">
        <v>147</v>
      </c>
      <c r="B148" s="4">
        <v>44547</v>
      </c>
      <c r="C148" s="3">
        <v>2021</v>
      </c>
      <c r="D148" s="3">
        <v>12</v>
      </c>
      <c r="E148" s="5" t="s">
        <v>37</v>
      </c>
      <c r="F148" s="3">
        <v>467</v>
      </c>
      <c r="G148" s="5" t="s">
        <v>25</v>
      </c>
      <c r="H148" s="5" t="s">
        <v>26</v>
      </c>
      <c r="I148" s="5" t="s">
        <v>27</v>
      </c>
      <c r="J148" s="5" t="s">
        <v>32</v>
      </c>
      <c r="K148" s="3">
        <v>78</v>
      </c>
      <c r="L148" s="11">
        <f>jewels[[#This Row],[Unit Price]]/(1+40%)</f>
        <v>6018170</v>
      </c>
      <c r="M148" s="11">
        <v>8425438</v>
      </c>
      <c r="N148" s="3">
        <v>1</v>
      </c>
      <c r="O148" s="11">
        <f>jewels[[#This Row],[Cost ]]*jewels[[#This Row],[Sales_Qty]]</f>
        <v>6018170</v>
      </c>
      <c r="P148" s="11">
        <v>8425438</v>
      </c>
      <c r="Q148" s="11">
        <f>jewels[[#This Row],[Total Sales Value]]-jewels[[#This Row],[Cost Per Unit]]</f>
        <v>2407268</v>
      </c>
      <c r="R148" s="13">
        <f>jewels[[#This Row],[Profit]]/jewels[[#This Row],[Cost Per Unit]]</f>
        <v>0.4</v>
      </c>
    </row>
    <row r="149" spans="1:18" x14ac:dyDescent="0.25">
      <c r="A149" s="3">
        <v>148</v>
      </c>
      <c r="B149" s="4">
        <v>45349</v>
      </c>
      <c r="C149" s="3">
        <v>2024</v>
      </c>
      <c r="D149" s="3">
        <v>2</v>
      </c>
      <c r="E149" s="5" t="s">
        <v>19</v>
      </c>
      <c r="F149" s="3">
        <v>438</v>
      </c>
      <c r="G149" s="5" t="s">
        <v>63</v>
      </c>
      <c r="H149" s="5" t="s">
        <v>21</v>
      </c>
      <c r="I149" s="5" t="s">
        <v>17</v>
      </c>
      <c r="J149" s="5" t="s">
        <v>30</v>
      </c>
      <c r="K149" s="3">
        <v>97</v>
      </c>
      <c r="L149" s="11">
        <f>jewels[[#This Row],[Unit Price]]/(1+40%)</f>
        <v>6499453.5714285718</v>
      </c>
      <c r="M149" s="11">
        <v>9099235</v>
      </c>
      <c r="N149" s="3">
        <v>7</v>
      </c>
      <c r="O149" s="11">
        <f>jewels[[#This Row],[Cost ]]*jewels[[#This Row],[Sales_Qty]]</f>
        <v>45496175</v>
      </c>
      <c r="P149" s="11">
        <v>63694645</v>
      </c>
      <c r="Q149" s="11">
        <f>jewels[[#This Row],[Total Sales Value]]-jewels[[#This Row],[Cost Per Unit]]</f>
        <v>18198470</v>
      </c>
      <c r="R149" s="13">
        <f>jewels[[#This Row],[Profit]]/jewels[[#This Row],[Cost Per Unit]]</f>
        <v>0.4</v>
      </c>
    </row>
    <row r="150" spans="1:18" x14ac:dyDescent="0.25">
      <c r="A150" s="3">
        <v>149</v>
      </c>
      <c r="B150" s="4">
        <v>44178</v>
      </c>
      <c r="C150" s="3">
        <v>2020</v>
      </c>
      <c r="D150" s="3">
        <v>12</v>
      </c>
      <c r="E150" s="5" t="s">
        <v>37</v>
      </c>
      <c r="F150" s="3">
        <v>17</v>
      </c>
      <c r="G150" s="5" t="s">
        <v>55</v>
      </c>
      <c r="H150" s="5" t="s">
        <v>56</v>
      </c>
      <c r="I150" s="5" t="s">
        <v>27</v>
      </c>
      <c r="J150" s="5" t="s">
        <v>28</v>
      </c>
      <c r="K150" s="3">
        <v>88</v>
      </c>
      <c r="L150" s="11">
        <f>jewels[[#This Row],[Unit Price]]/(1+40%)</f>
        <v>3671331.4285714286</v>
      </c>
      <c r="M150" s="11">
        <v>5139864</v>
      </c>
      <c r="N150" s="3">
        <v>5</v>
      </c>
      <c r="O150" s="11">
        <f>jewels[[#This Row],[Cost ]]*jewels[[#This Row],[Sales_Qty]]</f>
        <v>18356657.142857142</v>
      </c>
      <c r="P150" s="11">
        <v>25699320</v>
      </c>
      <c r="Q150" s="11">
        <f>jewels[[#This Row],[Total Sales Value]]-jewels[[#This Row],[Cost Per Unit]]</f>
        <v>7342662.8571428582</v>
      </c>
      <c r="R150" s="13">
        <f>jewels[[#This Row],[Profit]]/jewels[[#This Row],[Cost Per Unit]]</f>
        <v>0.40000000000000008</v>
      </c>
    </row>
    <row r="151" spans="1:18" x14ac:dyDescent="0.25">
      <c r="A151" s="3">
        <v>150</v>
      </c>
      <c r="B151" s="4">
        <v>44014</v>
      </c>
      <c r="C151" s="3">
        <v>2020</v>
      </c>
      <c r="D151" s="3">
        <v>7</v>
      </c>
      <c r="E151" s="5" t="s">
        <v>49</v>
      </c>
      <c r="F151" s="3">
        <v>415</v>
      </c>
      <c r="G151" s="5" t="s">
        <v>60</v>
      </c>
      <c r="H151" s="5" t="s">
        <v>16</v>
      </c>
      <c r="I151" s="5" t="s">
        <v>27</v>
      </c>
      <c r="J151" s="5" t="s">
        <v>30</v>
      </c>
      <c r="K151" s="3">
        <v>60</v>
      </c>
      <c r="L151" s="11">
        <f>jewels[[#This Row],[Unit Price]]/(1+40%)</f>
        <v>4149768.5714285718</v>
      </c>
      <c r="M151" s="11">
        <v>5809676</v>
      </c>
      <c r="N151" s="3">
        <v>5</v>
      </c>
      <c r="O151" s="11">
        <f>jewels[[#This Row],[Cost ]]*jewels[[#This Row],[Sales_Qty]]</f>
        <v>20748842.857142858</v>
      </c>
      <c r="P151" s="11">
        <v>29048380</v>
      </c>
      <c r="Q151" s="11">
        <f>jewels[[#This Row],[Total Sales Value]]-jewels[[#This Row],[Cost Per Unit]]</f>
        <v>8299537.1428571418</v>
      </c>
      <c r="R151" s="13">
        <f>jewels[[#This Row],[Profit]]/jewels[[#This Row],[Cost Per Unit]]</f>
        <v>0.39999999999999991</v>
      </c>
    </row>
    <row r="152" spans="1:18" x14ac:dyDescent="0.25">
      <c r="A152" s="3">
        <v>151</v>
      </c>
      <c r="B152" s="4">
        <v>45054</v>
      </c>
      <c r="C152" s="3">
        <v>2023</v>
      </c>
      <c r="D152" s="3">
        <v>5</v>
      </c>
      <c r="E152" s="5" t="s">
        <v>53</v>
      </c>
      <c r="F152" s="3">
        <v>228</v>
      </c>
      <c r="G152" s="5" t="s">
        <v>63</v>
      </c>
      <c r="H152" s="5" t="s">
        <v>21</v>
      </c>
      <c r="I152" s="5" t="s">
        <v>39</v>
      </c>
      <c r="J152" s="5" t="s">
        <v>47</v>
      </c>
      <c r="K152" s="3">
        <v>81</v>
      </c>
      <c r="L152" s="11">
        <f>jewels[[#This Row],[Unit Price]]/(1+40%)</f>
        <v>5438876.4285714291</v>
      </c>
      <c r="M152" s="11">
        <v>7614427</v>
      </c>
      <c r="N152" s="3">
        <v>2</v>
      </c>
      <c r="O152" s="11">
        <f>jewels[[#This Row],[Cost ]]*jewels[[#This Row],[Sales_Qty]]</f>
        <v>10877752.857142858</v>
      </c>
      <c r="P152" s="11">
        <v>15228854</v>
      </c>
      <c r="Q152" s="11">
        <f>jewels[[#This Row],[Total Sales Value]]-jewels[[#This Row],[Cost Per Unit]]</f>
        <v>4351101.1428571418</v>
      </c>
      <c r="R152" s="13">
        <f>jewels[[#This Row],[Profit]]/jewels[[#This Row],[Cost Per Unit]]</f>
        <v>0.39999999999999986</v>
      </c>
    </row>
    <row r="153" spans="1:18" x14ac:dyDescent="0.25">
      <c r="A153" s="3">
        <v>152</v>
      </c>
      <c r="B153" s="4">
        <v>45024</v>
      </c>
      <c r="C153" s="3">
        <v>2023</v>
      </c>
      <c r="D153" s="3">
        <v>4</v>
      </c>
      <c r="E153" s="5" t="s">
        <v>24</v>
      </c>
      <c r="F153" s="3">
        <v>90</v>
      </c>
      <c r="G153" s="5" t="s">
        <v>64</v>
      </c>
      <c r="H153" s="5" t="s">
        <v>26</v>
      </c>
      <c r="I153" s="5" t="s">
        <v>17</v>
      </c>
      <c r="J153" s="5" t="s">
        <v>28</v>
      </c>
      <c r="K153" s="3">
        <v>100</v>
      </c>
      <c r="L153" s="11">
        <f>jewels[[#This Row],[Unit Price]]/(1+40%)</f>
        <v>1410838.5714285716</v>
      </c>
      <c r="M153" s="11">
        <v>1975174</v>
      </c>
      <c r="N153" s="3">
        <v>8</v>
      </c>
      <c r="O153" s="11">
        <f>jewels[[#This Row],[Cost ]]*jewels[[#This Row],[Sales_Qty]]</f>
        <v>11286708.571428573</v>
      </c>
      <c r="P153" s="11">
        <v>15801392</v>
      </c>
      <c r="Q153" s="11">
        <f>jewels[[#This Row],[Total Sales Value]]-jewels[[#This Row],[Cost Per Unit]]</f>
        <v>4514683.4285714272</v>
      </c>
      <c r="R153" s="13">
        <f>jewels[[#This Row],[Profit]]/jewels[[#This Row],[Cost Per Unit]]</f>
        <v>0.39999999999999986</v>
      </c>
    </row>
    <row r="154" spans="1:18" x14ac:dyDescent="0.25">
      <c r="A154" s="3">
        <v>153</v>
      </c>
      <c r="B154" s="4">
        <v>44452</v>
      </c>
      <c r="C154" s="3">
        <v>2021</v>
      </c>
      <c r="D154" s="3">
        <v>9</v>
      </c>
      <c r="E154" s="5" t="s">
        <v>33</v>
      </c>
      <c r="F154" s="3">
        <v>318</v>
      </c>
      <c r="G154" s="5" t="s">
        <v>54</v>
      </c>
      <c r="H154" s="5" t="s">
        <v>21</v>
      </c>
      <c r="I154" s="5" t="s">
        <v>22</v>
      </c>
      <c r="J154" s="5" t="s">
        <v>18</v>
      </c>
      <c r="K154" s="3">
        <v>90</v>
      </c>
      <c r="L154" s="11">
        <f>jewels[[#This Row],[Unit Price]]/(1+40%)</f>
        <v>1826792.8571428573</v>
      </c>
      <c r="M154" s="11">
        <v>2557510</v>
      </c>
      <c r="N154" s="3">
        <v>8</v>
      </c>
      <c r="O154" s="11">
        <f>jewels[[#This Row],[Cost ]]*jewels[[#This Row],[Sales_Qty]]</f>
        <v>14614342.857142858</v>
      </c>
      <c r="P154" s="11">
        <v>20460080</v>
      </c>
      <c r="Q154" s="11">
        <f>jewels[[#This Row],[Total Sales Value]]-jewels[[#This Row],[Cost Per Unit]]</f>
        <v>5845737.1428571418</v>
      </c>
      <c r="R154" s="13">
        <f>jewels[[#This Row],[Profit]]/jewels[[#This Row],[Cost Per Unit]]</f>
        <v>0.39999999999999991</v>
      </c>
    </row>
    <row r="155" spans="1:18" x14ac:dyDescent="0.25">
      <c r="A155" s="3">
        <v>154</v>
      </c>
      <c r="B155" s="4">
        <v>45103</v>
      </c>
      <c r="C155" s="3">
        <v>2023</v>
      </c>
      <c r="D155" s="3">
        <v>6</v>
      </c>
      <c r="E155" s="5" t="s">
        <v>14</v>
      </c>
      <c r="F155" s="3">
        <v>302</v>
      </c>
      <c r="G155" s="5" t="s">
        <v>48</v>
      </c>
      <c r="H155" s="5" t="s">
        <v>16</v>
      </c>
      <c r="I155" s="5" t="s">
        <v>40</v>
      </c>
      <c r="J155" s="5" t="s">
        <v>18</v>
      </c>
      <c r="K155" s="3">
        <v>79</v>
      </c>
      <c r="L155" s="11">
        <f>jewels[[#This Row],[Unit Price]]/(1+40%)</f>
        <v>3280822.1428571432</v>
      </c>
      <c r="M155" s="11">
        <v>4593151</v>
      </c>
      <c r="N155" s="3">
        <v>6</v>
      </c>
      <c r="O155" s="11">
        <f>jewels[[#This Row],[Cost ]]*jewels[[#This Row],[Sales_Qty]]</f>
        <v>19684932.857142858</v>
      </c>
      <c r="P155" s="11">
        <v>27558906</v>
      </c>
      <c r="Q155" s="11">
        <f>jewels[[#This Row],[Total Sales Value]]-jewels[[#This Row],[Cost Per Unit]]</f>
        <v>7873973.1428571418</v>
      </c>
      <c r="R155" s="13">
        <f>jewels[[#This Row],[Profit]]/jewels[[#This Row],[Cost Per Unit]]</f>
        <v>0.39999999999999991</v>
      </c>
    </row>
    <row r="156" spans="1:18" x14ac:dyDescent="0.25">
      <c r="A156" s="3">
        <v>155</v>
      </c>
      <c r="B156" s="4">
        <v>44842</v>
      </c>
      <c r="C156" s="3">
        <v>2022</v>
      </c>
      <c r="D156" s="3">
        <v>10</v>
      </c>
      <c r="E156" s="5" t="s">
        <v>61</v>
      </c>
      <c r="F156" s="3">
        <v>139</v>
      </c>
      <c r="G156" s="5" t="s">
        <v>25</v>
      </c>
      <c r="H156" s="5" t="s">
        <v>26</v>
      </c>
      <c r="I156" s="5" t="s">
        <v>40</v>
      </c>
      <c r="J156" s="5" t="s">
        <v>23</v>
      </c>
      <c r="K156" s="3">
        <v>72</v>
      </c>
      <c r="L156" s="11">
        <f>jewels[[#This Row],[Unit Price]]/(1+40%)</f>
        <v>2885867.1428571432</v>
      </c>
      <c r="M156" s="11">
        <v>4040214</v>
      </c>
      <c r="N156" s="3">
        <v>9</v>
      </c>
      <c r="O156" s="11">
        <f>jewels[[#This Row],[Cost ]]*jewels[[#This Row],[Sales_Qty]]</f>
        <v>25972804.285714287</v>
      </c>
      <c r="P156" s="11">
        <v>36361926</v>
      </c>
      <c r="Q156" s="11">
        <f>jewels[[#This Row],[Total Sales Value]]-jewels[[#This Row],[Cost Per Unit]]</f>
        <v>10389121.714285713</v>
      </c>
      <c r="R156" s="13">
        <f>jewels[[#This Row],[Profit]]/jewels[[#This Row],[Cost Per Unit]]</f>
        <v>0.39999999999999991</v>
      </c>
    </row>
    <row r="157" spans="1:18" x14ac:dyDescent="0.25">
      <c r="A157" s="3">
        <v>156</v>
      </c>
      <c r="B157" s="4">
        <v>44002</v>
      </c>
      <c r="C157" s="3">
        <v>2020</v>
      </c>
      <c r="D157" s="3">
        <v>6</v>
      </c>
      <c r="E157" s="5" t="s">
        <v>14</v>
      </c>
      <c r="F157" s="3">
        <v>60</v>
      </c>
      <c r="G157" s="5" t="s">
        <v>42</v>
      </c>
      <c r="H157" s="5" t="s">
        <v>26</v>
      </c>
      <c r="I157" s="5" t="s">
        <v>22</v>
      </c>
      <c r="J157" s="5" t="s">
        <v>50</v>
      </c>
      <c r="K157" s="3">
        <v>84</v>
      </c>
      <c r="L157" s="11">
        <f>jewels[[#This Row],[Unit Price]]/(1+40%)</f>
        <v>5209597.8571428573</v>
      </c>
      <c r="M157" s="11">
        <v>7293437</v>
      </c>
      <c r="N157" s="3">
        <v>7</v>
      </c>
      <c r="O157" s="11">
        <f>jewels[[#This Row],[Cost ]]*jewels[[#This Row],[Sales_Qty]]</f>
        <v>36467185</v>
      </c>
      <c r="P157" s="11">
        <v>51054059</v>
      </c>
      <c r="Q157" s="11">
        <f>jewels[[#This Row],[Total Sales Value]]-jewels[[#This Row],[Cost Per Unit]]</f>
        <v>14586874</v>
      </c>
      <c r="R157" s="13">
        <f>jewels[[#This Row],[Profit]]/jewels[[#This Row],[Cost Per Unit]]</f>
        <v>0.4</v>
      </c>
    </row>
    <row r="158" spans="1:18" x14ac:dyDescent="0.25">
      <c r="A158" s="3">
        <v>157</v>
      </c>
      <c r="B158" s="4">
        <v>44606</v>
      </c>
      <c r="C158" s="3">
        <v>2022</v>
      </c>
      <c r="D158" s="3">
        <v>2</v>
      </c>
      <c r="E158" s="5" t="s">
        <v>19</v>
      </c>
      <c r="F158" s="3">
        <v>172</v>
      </c>
      <c r="G158" s="5" t="s">
        <v>55</v>
      </c>
      <c r="H158" s="5" t="s">
        <v>56</v>
      </c>
      <c r="I158" s="5" t="s">
        <v>22</v>
      </c>
      <c r="J158" s="5" t="s">
        <v>50</v>
      </c>
      <c r="K158" s="3">
        <v>75</v>
      </c>
      <c r="L158" s="11">
        <f>jewels[[#This Row],[Unit Price]]/(1+40%)</f>
        <v>5258383.5714285718</v>
      </c>
      <c r="M158" s="11">
        <v>7361737</v>
      </c>
      <c r="N158" s="3">
        <v>3</v>
      </c>
      <c r="O158" s="11">
        <f>jewels[[#This Row],[Cost ]]*jewels[[#This Row],[Sales_Qty]]</f>
        <v>15775150.714285716</v>
      </c>
      <c r="P158" s="11">
        <v>22085211</v>
      </c>
      <c r="Q158" s="11">
        <f>jewels[[#This Row],[Total Sales Value]]-jewels[[#This Row],[Cost Per Unit]]</f>
        <v>6310060.2857142836</v>
      </c>
      <c r="R158" s="13">
        <f>jewels[[#This Row],[Profit]]/jewels[[#This Row],[Cost Per Unit]]</f>
        <v>0.3999999999999998</v>
      </c>
    </row>
    <row r="159" spans="1:18" x14ac:dyDescent="0.25">
      <c r="A159" s="3">
        <v>158</v>
      </c>
      <c r="B159" s="4">
        <v>44639</v>
      </c>
      <c r="C159" s="3">
        <v>2022</v>
      </c>
      <c r="D159" s="3">
        <v>3</v>
      </c>
      <c r="E159" s="5" t="s">
        <v>43</v>
      </c>
      <c r="F159" s="3">
        <v>237</v>
      </c>
      <c r="G159" s="5" t="s">
        <v>54</v>
      </c>
      <c r="H159" s="5" t="s">
        <v>21</v>
      </c>
      <c r="I159" s="5" t="s">
        <v>39</v>
      </c>
      <c r="J159" s="5" t="s">
        <v>47</v>
      </c>
      <c r="K159" s="3">
        <v>88</v>
      </c>
      <c r="L159" s="11">
        <f>jewels[[#This Row],[Unit Price]]/(1+40%)</f>
        <v>363550</v>
      </c>
      <c r="M159" s="11">
        <v>508970</v>
      </c>
      <c r="N159" s="3">
        <v>3</v>
      </c>
      <c r="O159" s="11">
        <f>jewels[[#This Row],[Cost ]]*jewels[[#This Row],[Sales_Qty]]</f>
        <v>1090650</v>
      </c>
      <c r="P159" s="11">
        <v>1526910</v>
      </c>
      <c r="Q159" s="11">
        <f>jewels[[#This Row],[Total Sales Value]]-jewels[[#This Row],[Cost Per Unit]]</f>
        <v>436260</v>
      </c>
      <c r="R159" s="13">
        <f>jewels[[#This Row],[Profit]]/jewels[[#This Row],[Cost Per Unit]]</f>
        <v>0.4</v>
      </c>
    </row>
    <row r="160" spans="1:18" x14ac:dyDescent="0.25">
      <c r="A160" s="3">
        <v>159</v>
      </c>
      <c r="B160" s="4">
        <v>45314</v>
      </c>
      <c r="C160" s="3">
        <v>2024</v>
      </c>
      <c r="D160" s="3">
        <v>1</v>
      </c>
      <c r="E160" s="5" t="s">
        <v>41</v>
      </c>
      <c r="F160" s="3">
        <v>365</v>
      </c>
      <c r="G160" s="5" t="s">
        <v>63</v>
      </c>
      <c r="H160" s="5" t="s">
        <v>21</v>
      </c>
      <c r="I160" s="5" t="s">
        <v>40</v>
      </c>
      <c r="J160" s="5" t="s">
        <v>23</v>
      </c>
      <c r="K160" s="3">
        <v>66</v>
      </c>
      <c r="L160" s="11">
        <f>jewels[[#This Row],[Unit Price]]/(1+40%)</f>
        <v>881914.2857142858</v>
      </c>
      <c r="M160" s="11">
        <v>1234680</v>
      </c>
      <c r="N160" s="3">
        <v>5</v>
      </c>
      <c r="O160" s="11">
        <f>jewels[[#This Row],[Cost ]]*jewels[[#This Row],[Sales_Qty]]</f>
        <v>4409571.4285714291</v>
      </c>
      <c r="P160" s="11">
        <v>6173400</v>
      </c>
      <c r="Q160" s="11">
        <f>jewels[[#This Row],[Total Sales Value]]-jewels[[#This Row],[Cost Per Unit]]</f>
        <v>1763828.5714285709</v>
      </c>
      <c r="R160" s="13">
        <f>jewels[[#This Row],[Profit]]/jewels[[#This Row],[Cost Per Unit]]</f>
        <v>0.39999999999999986</v>
      </c>
    </row>
    <row r="161" spans="1:18" x14ac:dyDescent="0.25">
      <c r="A161" s="3">
        <v>160</v>
      </c>
      <c r="B161" s="4">
        <v>44936</v>
      </c>
      <c r="C161" s="3">
        <v>2023</v>
      </c>
      <c r="D161" s="3">
        <v>1</v>
      </c>
      <c r="E161" s="5" t="s">
        <v>41</v>
      </c>
      <c r="F161" s="3">
        <v>294</v>
      </c>
      <c r="G161" s="5" t="s">
        <v>64</v>
      </c>
      <c r="H161" s="5" t="s">
        <v>26</v>
      </c>
      <c r="I161" s="5" t="s">
        <v>39</v>
      </c>
      <c r="J161" s="5" t="s">
        <v>47</v>
      </c>
      <c r="K161" s="3">
        <v>64</v>
      </c>
      <c r="L161" s="11">
        <f>jewels[[#This Row],[Unit Price]]/(1+40%)</f>
        <v>1159948.5714285716</v>
      </c>
      <c r="M161" s="11">
        <v>1623928</v>
      </c>
      <c r="N161" s="3">
        <v>1</v>
      </c>
      <c r="O161" s="11">
        <f>jewels[[#This Row],[Cost ]]*jewels[[#This Row],[Sales_Qty]]</f>
        <v>1159948.5714285716</v>
      </c>
      <c r="P161" s="11">
        <v>1623928</v>
      </c>
      <c r="Q161" s="11">
        <f>jewels[[#This Row],[Total Sales Value]]-jewels[[#This Row],[Cost Per Unit]]</f>
        <v>463979.42857142841</v>
      </c>
      <c r="R161" s="13">
        <f>jewels[[#This Row],[Profit]]/jewels[[#This Row],[Cost Per Unit]]</f>
        <v>0.3999999999999998</v>
      </c>
    </row>
    <row r="162" spans="1:18" x14ac:dyDescent="0.25">
      <c r="A162" s="3">
        <v>161</v>
      </c>
      <c r="B162" s="4">
        <v>44272</v>
      </c>
      <c r="C162" s="3">
        <v>2021</v>
      </c>
      <c r="D162" s="3">
        <v>3</v>
      </c>
      <c r="E162" s="5" t="s">
        <v>43</v>
      </c>
      <c r="F162" s="3">
        <v>290</v>
      </c>
      <c r="G162" s="5" t="s">
        <v>25</v>
      </c>
      <c r="H162" s="5" t="s">
        <v>26</v>
      </c>
      <c r="I162" s="5" t="s">
        <v>29</v>
      </c>
      <c r="J162" s="5" t="s">
        <v>28</v>
      </c>
      <c r="K162" s="3">
        <v>65</v>
      </c>
      <c r="L162" s="11">
        <f>jewels[[#This Row],[Unit Price]]/(1+40%)</f>
        <v>6013032.8571428573</v>
      </c>
      <c r="M162" s="11">
        <v>8418246</v>
      </c>
      <c r="N162" s="3">
        <v>5</v>
      </c>
      <c r="O162" s="11">
        <f>jewels[[#This Row],[Cost ]]*jewels[[#This Row],[Sales_Qty]]</f>
        <v>30065164.285714287</v>
      </c>
      <c r="P162" s="11">
        <v>42091230</v>
      </c>
      <c r="Q162" s="11">
        <f>jewels[[#This Row],[Total Sales Value]]-jewels[[#This Row],[Cost Per Unit]]</f>
        <v>12026065.714285713</v>
      </c>
      <c r="R162" s="13">
        <f>jewels[[#This Row],[Profit]]/jewels[[#This Row],[Cost Per Unit]]</f>
        <v>0.39999999999999991</v>
      </c>
    </row>
    <row r="163" spans="1:18" x14ac:dyDescent="0.25">
      <c r="A163" s="3">
        <v>162</v>
      </c>
      <c r="B163" s="4">
        <v>44086</v>
      </c>
      <c r="C163" s="3">
        <v>2020</v>
      </c>
      <c r="D163" s="3">
        <v>9</v>
      </c>
      <c r="E163" s="5" t="s">
        <v>33</v>
      </c>
      <c r="F163" s="3">
        <v>400</v>
      </c>
      <c r="G163" s="5" t="s">
        <v>46</v>
      </c>
      <c r="H163" s="5" t="s">
        <v>35</v>
      </c>
      <c r="I163" s="5" t="s">
        <v>17</v>
      </c>
      <c r="J163" s="5" t="s">
        <v>30</v>
      </c>
      <c r="K163" s="3">
        <v>85</v>
      </c>
      <c r="L163" s="11">
        <f>jewels[[#This Row],[Unit Price]]/(1+40%)</f>
        <v>2719452.1428571432</v>
      </c>
      <c r="M163" s="11">
        <v>3807233</v>
      </c>
      <c r="N163" s="3">
        <v>6</v>
      </c>
      <c r="O163" s="11">
        <f>jewels[[#This Row],[Cost ]]*jewels[[#This Row],[Sales_Qty]]</f>
        <v>16316712.857142858</v>
      </c>
      <c r="P163" s="11">
        <v>22843398</v>
      </c>
      <c r="Q163" s="11">
        <f>jewels[[#This Row],[Total Sales Value]]-jewels[[#This Row],[Cost Per Unit]]</f>
        <v>6526685.1428571418</v>
      </c>
      <c r="R163" s="13">
        <f>jewels[[#This Row],[Profit]]/jewels[[#This Row],[Cost Per Unit]]</f>
        <v>0.39999999999999991</v>
      </c>
    </row>
    <row r="164" spans="1:18" x14ac:dyDescent="0.25">
      <c r="A164" s="3">
        <v>163</v>
      </c>
      <c r="B164" s="4">
        <v>44101</v>
      </c>
      <c r="C164" s="3">
        <v>2020</v>
      </c>
      <c r="D164" s="3">
        <v>9</v>
      </c>
      <c r="E164" s="5" t="s">
        <v>33</v>
      </c>
      <c r="F164" s="3">
        <v>257</v>
      </c>
      <c r="G164" s="5" t="s">
        <v>15</v>
      </c>
      <c r="H164" s="5" t="s">
        <v>16</v>
      </c>
      <c r="I164" s="5" t="s">
        <v>27</v>
      </c>
      <c r="J164" s="5" t="s">
        <v>30</v>
      </c>
      <c r="K164" s="3">
        <v>64</v>
      </c>
      <c r="L164" s="11">
        <f>jewels[[#This Row],[Unit Price]]/(1+40%)</f>
        <v>3538153.5714285718</v>
      </c>
      <c r="M164" s="11">
        <v>4953415</v>
      </c>
      <c r="N164" s="3">
        <v>10</v>
      </c>
      <c r="O164" s="11">
        <f>jewels[[#This Row],[Cost ]]*jewels[[#This Row],[Sales_Qty]]</f>
        <v>35381535.714285716</v>
      </c>
      <c r="P164" s="11">
        <v>49534150</v>
      </c>
      <c r="Q164" s="11">
        <f>jewels[[#This Row],[Total Sales Value]]-jewels[[#This Row],[Cost Per Unit]]</f>
        <v>14152614.285714284</v>
      </c>
      <c r="R164" s="13">
        <f>jewels[[#This Row],[Profit]]/jewels[[#This Row],[Cost Per Unit]]</f>
        <v>0.39999999999999991</v>
      </c>
    </row>
    <row r="165" spans="1:18" x14ac:dyDescent="0.25">
      <c r="A165" s="3">
        <v>164</v>
      </c>
      <c r="B165" s="4">
        <v>44204</v>
      </c>
      <c r="C165" s="3">
        <v>2021</v>
      </c>
      <c r="D165" s="3">
        <v>1</v>
      </c>
      <c r="E165" s="5" t="s">
        <v>41</v>
      </c>
      <c r="F165" s="3">
        <v>240</v>
      </c>
      <c r="G165" s="5" t="s">
        <v>31</v>
      </c>
      <c r="H165" s="5" t="s">
        <v>26</v>
      </c>
      <c r="I165" s="5" t="s">
        <v>27</v>
      </c>
      <c r="J165" s="5" t="s">
        <v>47</v>
      </c>
      <c r="K165" s="3">
        <v>64</v>
      </c>
      <c r="L165" s="11">
        <f>jewels[[#This Row],[Unit Price]]/(1+40%)</f>
        <v>6105420.7142857146</v>
      </c>
      <c r="M165" s="11">
        <v>8547589</v>
      </c>
      <c r="N165" s="3">
        <v>3</v>
      </c>
      <c r="O165" s="11">
        <f>jewels[[#This Row],[Cost ]]*jewels[[#This Row],[Sales_Qty]]</f>
        <v>18316262.142857142</v>
      </c>
      <c r="P165" s="11">
        <v>25642767</v>
      </c>
      <c r="Q165" s="11">
        <f>jewels[[#This Row],[Total Sales Value]]-jewels[[#This Row],[Cost Per Unit]]</f>
        <v>7326504.8571428582</v>
      </c>
      <c r="R165" s="13">
        <f>jewels[[#This Row],[Profit]]/jewels[[#This Row],[Cost Per Unit]]</f>
        <v>0.40000000000000008</v>
      </c>
    </row>
    <row r="166" spans="1:18" x14ac:dyDescent="0.25">
      <c r="A166" s="3">
        <v>165</v>
      </c>
      <c r="B166" s="4">
        <v>44704</v>
      </c>
      <c r="C166" s="3">
        <v>2022</v>
      </c>
      <c r="D166" s="3">
        <v>5</v>
      </c>
      <c r="E166" s="5" t="s">
        <v>53</v>
      </c>
      <c r="F166" s="3">
        <v>234</v>
      </c>
      <c r="G166" s="5" t="s">
        <v>52</v>
      </c>
      <c r="H166" s="5" t="s">
        <v>21</v>
      </c>
      <c r="I166" s="5" t="s">
        <v>17</v>
      </c>
      <c r="J166" s="5" t="s">
        <v>47</v>
      </c>
      <c r="K166" s="3">
        <v>76</v>
      </c>
      <c r="L166" s="11">
        <f>jewels[[#This Row],[Unit Price]]/(1+40%)</f>
        <v>1791990.7142857143</v>
      </c>
      <c r="M166" s="11">
        <v>2508787</v>
      </c>
      <c r="N166" s="3">
        <v>3</v>
      </c>
      <c r="O166" s="11">
        <f>jewels[[#This Row],[Cost ]]*jewels[[#This Row],[Sales_Qty]]</f>
        <v>5375972.1428571427</v>
      </c>
      <c r="P166" s="11">
        <v>7526361</v>
      </c>
      <c r="Q166" s="11">
        <f>jewels[[#This Row],[Total Sales Value]]-jewels[[#This Row],[Cost Per Unit]]</f>
        <v>2150388.8571428573</v>
      </c>
      <c r="R166" s="13">
        <f>jewels[[#This Row],[Profit]]/jewels[[#This Row],[Cost Per Unit]]</f>
        <v>0.4</v>
      </c>
    </row>
    <row r="167" spans="1:18" x14ac:dyDescent="0.25">
      <c r="A167" s="3">
        <v>166</v>
      </c>
      <c r="B167" s="4">
        <v>45006</v>
      </c>
      <c r="C167" s="3">
        <v>2023</v>
      </c>
      <c r="D167" s="3">
        <v>3</v>
      </c>
      <c r="E167" s="5" t="s">
        <v>43</v>
      </c>
      <c r="F167" s="3">
        <v>103</v>
      </c>
      <c r="G167" s="5" t="s">
        <v>38</v>
      </c>
      <c r="H167" s="5" t="s">
        <v>35</v>
      </c>
      <c r="I167" s="5" t="s">
        <v>27</v>
      </c>
      <c r="J167" s="5" t="s">
        <v>44</v>
      </c>
      <c r="K167" s="3">
        <v>60</v>
      </c>
      <c r="L167" s="11">
        <f>jewels[[#This Row],[Unit Price]]/(1+40%)</f>
        <v>7034562.8571428573</v>
      </c>
      <c r="M167" s="11">
        <v>9848388</v>
      </c>
      <c r="N167" s="3">
        <v>1</v>
      </c>
      <c r="O167" s="11">
        <f>jewels[[#This Row],[Cost ]]*jewels[[#This Row],[Sales_Qty]]</f>
        <v>7034562.8571428573</v>
      </c>
      <c r="P167" s="11">
        <v>9848388</v>
      </c>
      <c r="Q167" s="11">
        <f>jewels[[#This Row],[Total Sales Value]]-jewels[[#This Row],[Cost Per Unit]]</f>
        <v>2813825.1428571427</v>
      </c>
      <c r="R167" s="13">
        <f>jewels[[#This Row],[Profit]]/jewels[[#This Row],[Cost Per Unit]]</f>
        <v>0.39999999999999997</v>
      </c>
    </row>
    <row r="168" spans="1:18" x14ac:dyDescent="0.25">
      <c r="A168" s="3">
        <v>167</v>
      </c>
      <c r="B168" s="4">
        <v>44585</v>
      </c>
      <c r="C168" s="3">
        <v>2022</v>
      </c>
      <c r="D168" s="3">
        <v>1</v>
      </c>
      <c r="E168" s="5" t="s">
        <v>41</v>
      </c>
      <c r="F168" s="3">
        <v>461</v>
      </c>
      <c r="G168" s="5" t="s">
        <v>63</v>
      </c>
      <c r="H168" s="5" t="s">
        <v>21</v>
      </c>
      <c r="I168" s="5" t="s">
        <v>22</v>
      </c>
      <c r="J168" s="5" t="s">
        <v>30</v>
      </c>
      <c r="K168" s="3">
        <v>50</v>
      </c>
      <c r="L168" s="11">
        <f>jewels[[#This Row],[Unit Price]]/(1+40%)</f>
        <v>2947010</v>
      </c>
      <c r="M168" s="11">
        <v>4125814</v>
      </c>
      <c r="N168" s="3">
        <v>2</v>
      </c>
      <c r="O168" s="11">
        <f>jewels[[#This Row],[Cost ]]*jewels[[#This Row],[Sales_Qty]]</f>
        <v>5894020</v>
      </c>
      <c r="P168" s="11">
        <v>8251628</v>
      </c>
      <c r="Q168" s="11">
        <f>jewels[[#This Row],[Total Sales Value]]-jewels[[#This Row],[Cost Per Unit]]</f>
        <v>2357608</v>
      </c>
      <c r="R168" s="13">
        <f>jewels[[#This Row],[Profit]]/jewels[[#This Row],[Cost Per Unit]]</f>
        <v>0.4</v>
      </c>
    </row>
    <row r="169" spans="1:18" x14ac:dyDescent="0.25">
      <c r="A169" s="3">
        <v>168</v>
      </c>
      <c r="B169" s="4">
        <v>44480</v>
      </c>
      <c r="C169" s="3">
        <v>2021</v>
      </c>
      <c r="D169" s="3">
        <v>10</v>
      </c>
      <c r="E169" s="5" t="s">
        <v>61</v>
      </c>
      <c r="F169" s="3">
        <v>22</v>
      </c>
      <c r="G169" s="5" t="s">
        <v>65</v>
      </c>
      <c r="H169" s="5" t="s">
        <v>56</v>
      </c>
      <c r="I169" s="5" t="s">
        <v>40</v>
      </c>
      <c r="J169" s="5" t="s">
        <v>47</v>
      </c>
      <c r="K169" s="3">
        <v>79</v>
      </c>
      <c r="L169" s="11">
        <f>jewels[[#This Row],[Unit Price]]/(1+40%)</f>
        <v>1748899.2857142859</v>
      </c>
      <c r="M169" s="11">
        <v>2448459</v>
      </c>
      <c r="N169" s="3">
        <v>8</v>
      </c>
      <c r="O169" s="11">
        <f>jewels[[#This Row],[Cost ]]*jewels[[#This Row],[Sales_Qty]]</f>
        <v>13991194.285714287</v>
      </c>
      <c r="P169" s="11">
        <v>19587672</v>
      </c>
      <c r="Q169" s="11">
        <f>jewels[[#This Row],[Total Sales Value]]-jewels[[#This Row],[Cost Per Unit]]</f>
        <v>5596477.7142857127</v>
      </c>
      <c r="R169" s="13">
        <f>jewels[[#This Row],[Profit]]/jewels[[#This Row],[Cost Per Unit]]</f>
        <v>0.39999999999999986</v>
      </c>
    </row>
    <row r="170" spans="1:18" x14ac:dyDescent="0.25">
      <c r="A170" s="3">
        <v>169</v>
      </c>
      <c r="B170" s="4">
        <v>44553</v>
      </c>
      <c r="C170" s="3">
        <v>2021</v>
      </c>
      <c r="D170" s="3">
        <v>12</v>
      </c>
      <c r="E170" s="5" t="s">
        <v>37</v>
      </c>
      <c r="F170" s="3">
        <v>158</v>
      </c>
      <c r="G170" s="5" t="s">
        <v>34</v>
      </c>
      <c r="H170" s="5" t="s">
        <v>35</v>
      </c>
      <c r="I170" s="5" t="s">
        <v>17</v>
      </c>
      <c r="J170" s="5" t="s">
        <v>47</v>
      </c>
      <c r="K170" s="3">
        <v>60</v>
      </c>
      <c r="L170" s="11">
        <f>jewels[[#This Row],[Unit Price]]/(1+40%)</f>
        <v>3658687.1428571432</v>
      </c>
      <c r="M170" s="11">
        <v>5122162</v>
      </c>
      <c r="N170" s="3">
        <v>8</v>
      </c>
      <c r="O170" s="11">
        <f>jewels[[#This Row],[Cost ]]*jewels[[#This Row],[Sales_Qty]]</f>
        <v>29269497.142857146</v>
      </c>
      <c r="P170" s="11">
        <v>40977296</v>
      </c>
      <c r="Q170" s="11">
        <f>jewels[[#This Row],[Total Sales Value]]-jewels[[#This Row],[Cost Per Unit]]</f>
        <v>11707798.857142854</v>
      </c>
      <c r="R170" s="13">
        <f>jewels[[#This Row],[Profit]]/jewels[[#This Row],[Cost Per Unit]]</f>
        <v>0.39999999999999986</v>
      </c>
    </row>
    <row r="171" spans="1:18" x14ac:dyDescent="0.25">
      <c r="A171" s="3">
        <v>170</v>
      </c>
      <c r="B171" s="4">
        <v>45348</v>
      </c>
      <c r="C171" s="3">
        <v>2024</v>
      </c>
      <c r="D171" s="3">
        <v>2</v>
      </c>
      <c r="E171" s="5" t="s">
        <v>19</v>
      </c>
      <c r="F171" s="3">
        <v>350</v>
      </c>
      <c r="G171" s="5" t="s">
        <v>34</v>
      </c>
      <c r="H171" s="5" t="s">
        <v>35</v>
      </c>
      <c r="I171" s="5" t="s">
        <v>17</v>
      </c>
      <c r="J171" s="5" t="s">
        <v>18</v>
      </c>
      <c r="K171" s="3">
        <v>80</v>
      </c>
      <c r="L171" s="11">
        <f>jewels[[#This Row],[Unit Price]]/(1+40%)</f>
        <v>4243611.4285714291</v>
      </c>
      <c r="M171" s="11">
        <v>5941056</v>
      </c>
      <c r="N171" s="3">
        <v>7</v>
      </c>
      <c r="O171" s="11">
        <f>jewels[[#This Row],[Cost ]]*jewels[[#This Row],[Sales_Qty]]</f>
        <v>29705280.000000004</v>
      </c>
      <c r="P171" s="11">
        <v>41587392</v>
      </c>
      <c r="Q171" s="11">
        <f>jewels[[#This Row],[Total Sales Value]]-jewels[[#This Row],[Cost Per Unit]]</f>
        <v>11882111.999999996</v>
      </c>
      <c r="R171" s="13">
        <f>jewels[[#This Row],[Profit]]/jewels[[#This Row],[Cost Per Unit]]</f>
        <v>0.3999999999999998</v>
      </c>
    </row>
    <row r="172" spans="1:18" x14ac:dyDescent="0.25">
      <c r="A172" s="3">
        <v>171</v>
      </c>
      <c r="B172" s="4">
        <v>45301</v>
      </c>
      <c r="C172" s="3">
        <v>2024</v>
      </c>
      <c r="D172" s="3">
        <v>1</v>
      </c>
      <c r="E172" s="5" t="s">
        <v>41</v>
      </c>
      <c r="F172" s="3">
        <v>371</v>
      </c>
      <c r="G172" s="5" t="s">
        <v>59</v>
      </c>
      <c r="H172" s="5" t="s">
        <v>56</v>
      </c>
      <c r="I172" s="5" t="s">
        <v>29</v>
      </c>
      <c r="J172" s="5" t="s">
        <v>30</v>
      </c>
      <c r="K172" s="3">
        <v>67</v>
      </c>
      <c r="L172" s="11">
        <f>jewels[[#This Row],[Unit Price]]/(1+40%)</f>
        <v>5998907.1428571437</v>
      </c>
      <c r="M172" s="11">
        <v>8398470</v>
      </c>
      <c r="N172" s="3">
        <v>3</v>
      </c>
      <c r="O172" s="11">
        <f>jewels[[#This Row],[Cost ]]*jewels[[#This Row],[Sales_Qty]]</f>
        <v>17996721.428571433</v>
      </c>
      <c r="P172" s="11">
        <v>25195410</v>
      </c>
      <c r="Q172" s="11">
        <f>jewels[[#This Row],[Total Sales Value]]-jewels[[#This Row],[Cost Per Unit]]</f>
        <v>7198688.5714285672</v>
      </c>
      <c r="R172" s="13">
        <f>jewels[[#This Row],[Profit]]/jewels[[#This Row],[Cost Per Unit]]</f>
        <v>0.39999999999999969</v>
      </c>
    </row>
    <row r="173" spans="1:18" x14ac:dyDescent="0.25">
      <c r="A173" s="3">
        <v>172</v>
      </c>
      <c r="B173" s="4">
        <v>44708</v>
      </c>
      <c r="C173" s="3">
        <v>2022</v>
      </c>
      <c r="D173" s="3">
        <v>5</v>
      </c>
      <c r="E173" s="5" t="s">
        <v>53</v>
      </c>
      <c r="F173" s="3">
        <v>408</v>
      </c>
      <c r="G173" s="5" t="s">
        <v>20</v>
      </c>
      <c r="H173" s="5" t="s">
        <v>21</v>
      </c>
      <c r="I173" s="5" t="s">
        <v>40</v>
      </c>
      <c r="J173" s="5" t="s">
        <v>32</v>
      </c>
      <c r="K173" s="3">
        <v>81</v>
      </c>
      <c r="L173" s="11">
        <f>jewels[[#This Row],[Unit Price]]/(1+40%)</f>
        <v>2832124.2857142859</v>
      </c>
      <c r="M173" s="11">
        <v>3964974</v>
      </c>
      <c r="N173" s="3">
        <v>2</v>
      </c>
      <c r="O173" s="11">
        <f>jewels[[#This Row],[Cost ]]*jewels[[#This Row],[Sales_Qty]]</f>
        <v>5664248.5714285718</v>
      </c>
      <c r="P173" s="11">
        <v>7929948</v>
      </c>
      <c r="Q173" s="11">
        <f>jewels[[#This Row],[Total Sales Value]]-jewels[[#This Row],[Cost Per Unit]]</f>
        <v>2265699.4285714282</v>
      </c>
      <c r="R173" s="13">
        <f>jewels[[#This Row],[Profit]]/jewels[[#This Row],[Cost Per Unit]]</f>
        <v>0.39999999999999991</v>
      </c>
    </row>
    <row r="174" spans="1:18" x14ac:dyDescent="0.25">
      <c r="A174" s="3">
        <v>173</v>
      </c>
      <c r="B174" s="4">
        <v>44317</v>
      </c>
      <c r="C174" s="3">
        <v>2021</v>
      </c>
      <c r="D174" s="3">
        <v>5</v>
      </c>
      <c r="E174" s="5" t="s">
        <v>53</v>
      </c>
      <c r="F174" s="3">
        <v>210</v>
      </c>
      <c r="G174" s="5" t="s">
        <v>55</v>
      </c>
      <c r="H174" s="5" t="s">
        <v>56</v>
      </c>
      <c r="I174" s="5" t="s">
        <v>29</v>
      </c>
      <c r="J174" s="5" t="s">
        <v>50</v>
      </c>
      <c r="K174" s="3">
        <v>86</v>
      </c>
      <c r="L174" s="11">
        <f>jewels[[#This Row],[Unit Price]]/(1+40%)</f>
        <v>3963871.4285714286</v>
      </c>
      <c r="M174" s="11">
        <v>5549420</v>
      </c>
      <c r="N174" s="3">
        <v>6</v>
      </c>
      <c r="O174" s="11">
        <f>jewels[[#This Row],[Cost ]]*jewels[[#This Row],[Sales_Qty]]</f>
        <v>23783228.571428571</v>
      </c>
      <c r="P174" s="11">
        <v>33296520</v>
      </c>
      <c r="Q174" s="11">
        <f>jewels[[#This Row],[Total Sales Value]]-jewels[[#This Row],[Cost Per Unit]]</f>
        <v>9513291.4285714291</v>
      </c>
      <c r="R174" s="13">
        <f>jewels[[#This Row],[Profit]]/jewels[[#This Row],[Cost Per Unit]]</f>
        <v>0.4</v>
      </c>
    </row>
    <row r="175" spans="1:18" x14ac:dyDescent="0.25">
      <c r="A175" s="3">
        <v>174</v>
      </c>
      <c r="B175" s="4">
        <v>45211</v>
      </c>
      <c r="C175" s="3">
        <v>2023</v>
      </c>
      <c r="D175" s="3">
        <v>10</v>
      </c>
      <c r="E175" s="5" t="s">
        <v>61</v>
      </c>
      <c r="F175" s="3">
        <v>412</v>
      </c>
      <c r="G175" s="5" t="s">
        <v>15</v>
      </c>
      <c r="H175" s="5" t="s">
        <v>16</v>
      </c>
      <c r="I175" s="5" t="s">
        <v>22</v>
      </c>
      <c r="J175" s="5" t="s">
        <v>18</v>
      </c>
      <c r="K175" s="3">
        <v>99</v>
      </c>
      <c r="L175" s="11">
        <f>jewels[[#This Row],[Unit Price]]/(1+40%)</f>
        <v>951081.42857142864</v>
      </c>
      <c r="M175" s="11">
        <v>1331514</v>
      </c>
      <c r="N175" s="3">
        <v>3</v>
      </c>
      <c r="O175" s="11">
        <f>jewels[[#This Row],[Cost ]]*jewels[[#This Row],[Sales_Qty]]</f>
        <v>2853244.2857142859</v>
      </c>
      <c r="P175" s="11">
        <v>3994542</v>
      </c>
      <c r="Q175" s="11">
        <f>jewels[[#This Row],[Total Sales Value]]-jewels[[#This Row],[Cost Per Unit]]</f>
        <v>1141297.7142857141</v>
      </c>
      <c r="R175" s="13">
        <f>jewels[[#This Row],[Profit]]/jewels[[#This Row],[Cost Per Unit]]</f>
        <v>0.39999999999999991</v>
      </c>
    </row>
    <row r="176" spans="1:18" x14ac:dyDescent="0.25">
      <c r="A176" s="3">
        <v>175</v>
      </c>
      <c r="B176" s="4">
        <v>44463</v>
      </c>
      <c r="C176" s="3">
        <v>2021</v>
      </c>
      <c r="D176" s="3">
        <v>9</v>
      </c>
      <c r="E176" s="5" t="s">
        <v>33</v>
      </c>
      <c r="F176" s="3">
        <v>281</v>
      </c>
      <c r="G176" s="5" t="s">
        <v>20</v>
      </c>
      <c r="H176" s="5" t="s">
        <v>21</v>
      </c>
      <c r="I176" s="5" t="s">
        <v>29</v>
      </c>
      <c r="J176" s="5" t="s">
        <v>30</v>
      </c>
      <c r="K176" s="3">
        <v>86</v>
      </c>
      <c r="L176" s="11">
        <f>jewels[[#This Row],[Unit Price]]/(1+40%)</f>
        <v>6157812.8571428573</v>
      </c>
      <c r="M176" s="11">
        <v>8620938</v>
      </c>
      <c r="N176" s="3">
        <v>1</v>
      </c>
      <c r="O176" s="11">
        <f>jewels[[#This Row],[Cost ]]*jewels[[#This Row],[Sales_Qty]]</f>
        <v>6157812.8571428573</v>
      </c>
      <c r="P176" s="11">
        <v>8620938</v>
      </c>
      <c r="Q176" s="11">
        <f>jewels[[#This Row],[Total Sales Value]]-jewels[[#This Row],[Cost Per Unit]]</f>
        <v>2463125.1428571427</v>
      </c>
      <c r="R176" s="13">
        <f>jewels[[#This Row],[Profit]]/jewels[[#This Row],[Cost Per Unit]]</f>
        <v>0.39999999999999997</v>
      </c>
    </row>
    <row r="177" spans="1:18" x14ac:dyDescent="0.25">
      <c r="A177" s="3">
        <v>176</v>
      </c>
      <c r="B177" s="4">
        <v>44707</v>
      </c>
      <c r="C177" s="3">
        <v>2022</v>
      </c>
      <c r="D177" s="3">
        <v>5</v>
      </c>
      <c r="E177" s="5" t="s">
        <v>53</v>
      </c>
      <c r="F177" s="3">
        <v>398</v>
      </c>
      <c r="G177" s="5" t="s">
        <v>55</v>
      </c>
      <c r="H177" s="5" t="s">
        <v>56</v>
      </c>
      <c r="I177" s="5" t="s">
        <v>40</v>
      </c>
      <c r="J177" s="5" t="s">
        <v>50</v>
      </c>
      <c r="K177" s="3">
        <v>69</v>
      </c>
      <c r="L177" s="11">
        <f>jewels[[#This Row],[Unit Price]]/(1+40%)</f>
        <v>4534100.7142857146</v>
      </c>
      <c r="M177" s="11">
        <v>6347741</v>
      </c>
      <c r="N177" s="3">
        <v>1</v>
      </c>
      <c r="O177" s="11">
        <f>jewels[[#This Row],[Cost ]]*jewels[[#This Row],[Sales_Qty]]</f>
        <v>4534100.7142857146</v>
      </c>
      <c r="P177" s="11">
        <v>6347741</v>
      </c>
      <c r="Q177" s="11">
        <f>jewels[[#This Row],[Total Sales Value]]-jewels[[#This Row],[Cost Per Unit]]</f>
        <v>1813640.2857142854</v>
      </c>
      <c r="R177" s="13">
        <f>jewels[[#This Row],[Profit]]/jewels[[#This Row],[Cost Per Unit]]</f>
        <v>0.39999999999999991</v>
      </c>
    </row>
    <row r="178" spans="1:18" x14ac:dyDescent="0.25">
      <c r="A178" s="3">
        <v>177</v>
      </c>
      <c r="B178" s="4">
        <v>44707</v>
      </c>
      <c r="C178" s="3">
        <v>2022</v>
      </c>
      <c r="D178" s="3">
        <v>5</v>
      </c>
      <c r="E178" s="5" t="s">
        <v>53</v>
      </c>
      <c r="F178" s="3">
        <v>463</v>
      </c>
      <c r="G178" s="5" t="s">
        <v>46</v>
      </c>
      <c r="H178" s="5" t="s">
        <v>35</v>
      </c>
      <c r="I178" s="5" t="s">
        <v>17</v>
      </c>
      <c r="J178" s="5" t="s">
        <v>28</v>
      </c>
      <c r="K178" s="3">
        <v>79</v>
      </c>
      <c r="L178" s="11">
        <f>jewels[[#This Row],[Unit Price]]/(1+40%)</f>
        <v>2080923.5714285716</v>
      </c>
      <c r="M178" s="11">
        <v>2913293</v>
      </c>
      <c r="N178" s="3">
        <v>5</v>
      </c>
      <c r="O178" s="11">
        <f>jewels[[#This Row],[Cost ]]*jewels[[#This Row],[Sales_Qty]]</f>
        <v>10404617.857142858</v>
      </c>
      <c r="P178" s="11">
        <v>14566465</v>
      </c>
      <c r="Q178" s="11">
        <f>jewels[[#This Row],[Total Sales Value]]-jewels[[#This Row],[Cost Per Unit]]</f>
        <v>4161847.1428571418</v>
      </c>
      <c r="R178" s="13">
        <f>jewels[[#This Row],[Profit]]/jewels[[#This Row],[Cost Per Unit]]</f>
        <v>0.39999999999999986</v>
      </c>
    </row>
    <row r="179" spans="1:18" x14ac:dyDescent="0.25">
      <c r="A179" s="3">
        <v>178</v>
      </c>
      <c r="B179" s="4">
        <v>44526</v>
      </c>
      <c r="C179" s="3">
        <v>2021</v>
      </c>
      <c r="D179" s="3">
        <v>11</v>
      </c>
      <c r="E179" s="5" t="s">
        <v>58</v>
      </c>
      <c r="F179" s="3">
        <v>21</v>
      </c>
      <c r="G179" s="5" t="s">
        <v>46</v>
      </c>
      <c r="H179" s="5" t="s">
        <v>35</v>
      </c>
      <c r="I179" s="5" t="s">
        <v>17</v>
      </c>
      <c r="J179" s="5" t="s">
        <v>32</v>
      </c>
      <c r="K179" s="3">
        <v>94</v>
      </c>
      <c r="L179" s="11">
        <f>jewels[[#This Row],[Unit Price]]/(1+40%)</f>
        <v>1446367.8571428573</v>
      </c>
      <c r="M179" s="11">
        <v>2024915</v>
      </c>
      <c r="N179" s="3">
        <v>9</v>
      </c>
      <c r="O179" s="11">
        <f>jewels[[#This Row],[Cost ]]*jewels[[#This Row],[Sales_Qty]]</f>
        <v>13017310.714285716</v>
      </c>
      <c r="P179" s="11">
        <v>18224235</v>
      </c>
      <c r="Q179" s="11">
        <f>jewels[[#This Row],[Total Sales Value]]-jewels[[#This Row],[Cost Per Unit]]</f>
        <v>5206924.2857142836</v>
      </c>
      <c r="R179" s="13">
        <f>jewels[[#This Row],[Profit]]/jewels[[#This Row],[Cost Per Unit]]</f>
        <v>0.39999999999999974</v>
      </c>
    </row>
    <row r="180" spans="1:18" x14ac:dyDescent="0.25">
      <c r="A180" s="3">
        <v>179</v>
      </c>
      <c r="B180" s="4">
        <v>44993</v>
      </c>
      <c r="C180" s="3">
        <v>2023</v>
      </c>
      <c r="D180" s="3">
        <v>3</v>
      </c>
      <c r="E180" s="5" t="s">
        <v>43</v>
      </c>
      <c r="F180" s="3">
        <v>66</v>
      </c>
      <c r="G180" s="5" t="s">
        <v>55</v>
      </c>
      <c r="H180" s="5" t="s">
        <v>56</v>
      </c>
      <c r="I180" s="5" t="s">
        <v>22</v>
      </c>
      <c r="J180" s="5" t="s">
        <v>18</v>
      </c>
      <c r="K180" s="3">
        <v>64</v>
      </c>
      <c r="L180" s="11">
        <f>jewels[[#This Row],[Unit Price]]/(1+40%)</f>
        <v>5076275.7142857146</v>
      </c>
      <c r="M180" s="11">
        <v>7106786</v>
      </c>
      <c r="N180" s="3">
        <v>10</v>
      </c>
      <c r="O180" s="11">
        <f>jewels[[#This Row],[Cost ]]*jewels[[#This Row],[Sales_Qty]]</f>
        <v>50762757.142857149</v>
      </c>
      <c r="P180" s="11">
        <v>71067860</v>
      </c>
      <c r="Q180" s="11">
        <f>jewels[[#This Row],[Total Sales Value]]-jewels[[#This Row],[Cost Per Unit]]</f>
        <v>20305102.857142851</v>
      </c>
      <c r="R180" s="13">
        <f>jewels[[#This Row],[Profit]]/jewels[[#This Row],[Cost Per Unit]]</f>
        <v>0.3999999999999998</v>
      </c>
    </row>
    <row r="181" spans="1:18" x14ac:dyDescent="0.25">
      <c r="A181" s="3">
        <v>180</v>
      </c>
      <c r="B181" s="4">
        <v>44093</v>
      </c>
      <c r="C181" s="3">
        <v>2020</v>
      </c>
      <c r="D181" s="3">
        <v>9</v>
      </c>
      <c r="E181" s="5" t="s">
        <v>33</v>
      </c>
      <c r="F181" s="3">
        <v>380</v>
      </c>
      <c r="G181" s="5" t="s">
        <v>57</v>
      </c>
      <c r="H181" s="5" t="s">
        <v>35</v>
      </c>
      <c r="I181" s="5" t="s">
        <v>40</v>
      </c>
      <c r="J181" s="5" t="s">
        <v>23</v>
      </c>
      <c r="K181" s="3">
        <v>79</v>
      </c>
      <c r="L181" s="11">
        <f>jewels[[#This Row],[Unit Price]]/(1+40%)</f>
        <v>1082529.2857142857</v>
      </c>
      <c r="M181" s="11">
        <v>1515541</v>
      </c>
      <c r="N181" s="3">
        <v>2</v>
      </c>
      <c r="O181" s="11">
        <f>jewels[[#This Row],[Cost ]]*jewels[[#This Row],[Sales_Qty]]</f>
        <v>2165058.5714285714</v>
      </c>
      <c r="P181" s="11">
        <v>3031082</v>
      </c>
      <c r="Q181" s="11">
        <f>jewels[[#This Row],[Total Sales Value]]-jewels[[#This Row],[Cost Per Unit]]</f>
        <v>866023.42857142864</v>
      </c>
      <c r="R181" s="13">
        <f>jewels[[#This Row],[Profit]]/jewels[[#This Row],[Cost Per Unit]]</f>
        <v>0.4</v>
      </c>
    </row>
    <row r="182" spans="1:18" x14ac:dyDescent="0.25">
      <c r="A182" s="3">
        <v>181</v>
      </c>
      <c r="B182" s="4">
        <v>44803</v>
      </c>
      <c r="C182" s="3">
        <v>2022</v>
      </c>
      <c r="D182" s="3">
        <v>8</v>
      </c>
      <c r="E182" s="5" t="s">
        <v>51</v>
      </c>
      <c r="F182" s="3">
        <v>433</v>
      </c>
      <c r="G182" s="5" t="s">
        <v>60</v>
      </c>
      <c r="H182" s="5" t="s">
        <v>16</v>
      </c>
      <c r="I182" s="5" t="s">
        <v>17</v>
      </c>
      <c r="J182" s="5" t="s">
        <v>32</v>
      </c>
      <c r="K182" s="3">
        <v>98</v>
      </c>
      <c r="L182" s="11">
        <f>jewels[[#This Row],[Unit Price]]/(1+40%)</f>
        <v>1184735</v>
      </c>
      <c r="M182" s="11">
        <v>1658629</v>
      </c>
      <c r="N182" s="3">
        <v>5</v>
      </c>
      <c r="O182" s="11">
        <f>jewels[[#This Row],[Cost ]]*jewels[[#This Row],[Sales_Qty]]</f>
        <v>5923675</v>
      </c>
      <c r="P182" s="11">
        <v>8293145</v>
      </c>
      <c r="Q182" s="11">
        <f>jewels[[#This Row],[Total Sales Value]]-jewels[[#This Row],[Cost Per Unit]]</f>
        <v>2369470</v>
      </c>
      <c r="R182" s="13">
        <f>jewels[[#This Row],[Profit]]/jewels[[#This Row],[Cost Per Unit]]</f>
        <v>0.4</v>
      </c>
    </row>
    <row r="183" spans="1:18" x14ac:dyDescent="0.25">
      <c r="A183" s="3">
        <v>182</v>
      </c>
      <c r="B183" s="4">
        <v>44207</v>
      </c>
      <c r="C183" s="3">
        <v>2021</v>
      </c>
      <c r="D183" s="3">
        <v>1</v>
      </c>
      <c r="E183" s="5" t="s">
        <v>41</v>
      </c>
      <c r="F183" s="3">
        <v>390</v>
      </c>
      <c r="G183" s="5" t="s">
        <v>63</v>
      </c>
      <c r="H183" s="5" t="s">
        <v>21</v>
      </c>
      <c r="I183" s="5" t="s">
        <v>39</v>
      </c>
      <c r="J183" s="5" t="s">
        <v>18</v>
      </c>
      <c r="K183" s="3">
        <v>62</v>
      </c>
      <c r="L183" s="11">
        <f>jewels[[#This Row],[Unit Price]]/(1+40%)</f>
        <v>5789060.7142857146</v>
      </c>
      <c r="M183" s="11">
        <v>8104685</v>
      </c>
      <c r="N183" s="3">
        <v>8</v>
      </c>
      <c r="O183" s="11">
        <f>jewels[[#This Row],[Cost ]]*jewels[[#This Row],[Sales_Qty]]</f>
        <v>46312485.714285716</v>
      </c>
      <c r="P183" s="11">
        <v>64837480</v>
      </c>
      <c r="Q183" s="11">
        <f>jewels[[#This Row],[Total Sales Value]]-jewels[[#This Row],[Cost Per Unit]]</f>
        <v>18524994.285714284</v>
      </c>
      <c r="R183" s="13">
        <f>jewels[[#This Row],[Profit]]/jewels[[#This Row],[Cost Per Unit]]</f>
        <v>0.39999999999999991</v>
      </c>
    </row>
    <row r="184" spans="1:18" x14ac:dyDescent="0.25">
      <c r="A184" s="3">
        <v>183</v>
      </c>
      <c r="B184" s="4">
        <v>44416</v>
      </c>
      <c r="C184" s="3">
        <v>2021</v>
      </c>
      <c r="D184" s="3">
        <v>8</v>
      </c>
      <c r="E184" s="5" t="s">
        <v>51</v>
      </c>
      <c r="F184" s="3">
        <v>130</v>
      </c>
      <c r="G184" s="5" t="s">
        <v>20</v>
      </c>
      <c r="H184" s="5" t="s">
        <v>21</v>
      </c>
      <c r="I184" s="5" t="s">
        <v>40</v>
      </c>
      <c r="J184" s="5" t="s">
        <v>50</v>
      </c>
      <c r="K184" s="3">
        <v>79</v>
      </c>
      <c r="L184" s="11">
        <f>jewels[[#This Row],[Unit Price]]/(1+40%)</f>
        <v>2555328.5714285714</v>
      </c>
      <c r="M184" s="11">
        <v>3577460</v>
      </c>
      <c r="N184" s="3">
        <v>6</v>
      </c>
      <c r="O184" s="11">
        <f>jewels[[#This Row],[Cost ]]*jewels[[#This Row],[Sales_Qty]]</f>
        <v>15331971.428571429</v>
      </c>
      <c r="P184" s="11">
        <v>21464760</v>
      </c>
      <c r="Q184" s="11">
        <f>jewels[[#This Row],[Total Sales Value]]-jewels[[#This Row],[Cost Per Unit]]</f>
        <v>6132788.5714285709</v>
      </c>
      <c r="R184" s="13">
        <f>jewels[[#This Row],[Profit]]/jewels[[#This Row],[Cost Per Unit]]</f>
        <v>0.39999999999999997</v>
      </c>
    </row>
    <row r="185" spans="1:18" x14ac:dyDescent="0.25">
      <c r="A185" s="3">
        <v>184</v>
      </c>
      <c r="B185" s="4">
        <v>44195</v>
      </c>
      <c r="C185" s="3">
        <v>2020</v>
      </c>
      <c r="D185" s="3">
        <v>12</v>
      </c>
      <c r="E185" s="5" t="s">
        <v>37</v>
      </c>
      <c r="F185" s="3">
        <v>380</v>
      </c>
      <c r="G185" s="5" t="s">
        <v>15</v>
      </c>
      <c r="H185" s="5" t="s">
        <v>16</v>
      </c>
      <c r="I185" s="5" t="s">
        <v>27</v>
      </c>
      <c r="J185" s="5" t="s">
        <v>45</v>
      </c>
      <c r="K185" s="3">
        <v>98</v>
      </c>
      <c r="L185" s="11">
        <f>jewels[[#This Row],[Unit Price]]/(1+40%)</f>
        <v>3817749.2857142859</v>
      </c>
      <c r="M185" s="11">
        <v>5344849</v>
      </c>
      <c r="N185" s="3">
        <v>9</v>
      </c>
      <c r="O185" s="11">
        <f>jewels[[#This Row],[Cost ]]*jewels[[#This Row],[Sales_Qty]]</f>
        <v>34359743.571428575</v>
      </c>
      <c r="P185" s="11">
        <v>48103641</v>
      </c>
      <c r="Q185" s="11">
        <f>jewels[[#This Row],[Total Sales Value]]-jewels[[#This Row],[Cost Per Unit]]</f>
        <v>13743897.428571425</v>
      </c>
      <c r="R185" s="13">
        <f>jewels[[#This Row],[Profit]]/jewels[[#This Row],[Cost Per Unit]]</f>
        <v>0.39999999999999986</v>
      </c>
    </row>
    <row r="186" spans="1:18" x14ac:dyDescent="0.25">
      <c r="A186" s="3">
        <v>185</v>
      </c>
      <c r="B186" s="4">
        <v>44217</v>
      </c>
      <c r="C186" s="3">
        <v>2021</v>
      </c>
      <c r="D186" s="3">
        <v>1</v>
      </c>
      <c r="E186" s="5" t="s">
        <v>41</v>
      </c>
      <c r="F186" s="3">
        <v>285</v>
      </c>
      <c r="G186" s="5" t="s">
        <v>15</v>
      </c>
      <c r="H186" s="5" t="s">
        <v>16</v>
      </c>
      <c r="I186" s="5" t="s">
        <v>39</v>
      </c>
      <c r="J186" s="5" t="s">
        <v>47</v>
      </c>
      <c r="K186" s="3">
        <v>80</v>
      </c>
      <c r="L186" s="11">
        <f>jewels[[#This Row],[Unit Price]]/(1+40%)</f>
        <v>2812172.1428571432</v>
      </c>
      <c r="M186" s="11">
        <v>3937041</v>
      </c>
      <c r="N186" s="3">
        <v>4</v>
      </c>
      <c r="O186" s="11">
        <f>jewels[[#This Row],[Cost ]]*jewels[[#This Row],[Sales_Qty]]</f>
        <v>11248688.571428573</v>
      </c>
      <c r="P186" s="11">
        <v>15748164</v>
      </c>
      <c r="Q186" s="11">
        <f>jewels[[#This Row],[Total Sales Value]]-jewels[[#This Row],[Cost Per Unit]]</f>
        <v>4499475.4285714272</v>
      </c>
      <c r="R186" s="13">
        <f>jewels[[#This Row],[Profit]]/jewels[[#This Row],[Cost Per Unit]]</f>
        <v>0.39999999999999986</v>
      </c>
    </row>
    <row r="187" spans="1:18" x14ac:dyDescent="0.25">
      <c r="A187" s="3">
        <v>186</v>
      </c>
      <c r="B187" s="4">
        <v>44571</v>
      </c>
      <c r="C187" s="3">
        <v>2022</v>
      </c>
      <c r="D187" s="3">
        <v>1</v>
      </c>
      <c r="E187" s="5" t="s">
        <v>41</v>
      </c>
      <c r="F187" s="3">
        <v>54</v>
      </c>
      <c r="G187" s="5" t="s">
        <v>38</v>
      </c>
      <c r="H187" s="5" t="s">
        <v>35</v>
      </c>
      <c r="I187" s="5" t="s">
        <v>29</v>
      </c>
      <c r="J187" s="5" t="s">
        <v>18</v>
      </c>
      <c r="K187" s="3">
        <v>71</v>
      </c>
      <c r="L187" s="11">
        <f>jewels[[#This Row],[Unit Price]]/(1+40%)</f>
        <v>5825468.5714285718</v>
      </c>
      <c r="M187" s="11">
        <v>8155656</v>
      </c>
      <c r="N187" s="3">
        <v>8</v>
      </c>
      <c r="O187" s="11">
        <f>jewels[[#This Row],[Cost ]]*jewels[[#This Row],[Sales_Qty]]</f>
        <v>46603748.571428575</v>
      </c>
      <c r="P187" s="11">
        <v>65245248</v>
      </c>
      <c r="Q187" s="11">
        <f>jewels[[#This Row],[Total Sales Value]]-jewels[[#This Row],[Cost Per Unit]]</f>
        <v>18641499.428571425</v>
      </c>
      <c r="R187" s="13">
        <f>jewels[[#This Row],[Profit]]/jewels[[#This Row],[Cost Per Unit]]</f>
        <v>0.39999999999999991</v>
      </c>
    </row>
    <row r="188" spans="1:18" x14ac:dyDescent="0.25">
      <c r="A188" s="3">
        <v>187</v>
      </c>
      <c r="B188" s="4">
        <v>44780</v>
      </c>
      <c r="C188" s="3">
        <v>2022</v>
      </c>
      <c r="D188" s="3">
        <v>8</v>
      </c>
      <c r="E188" s="5" t="s">
        <v>51</v>
      </c>
      <c r="F188" s="3">
        <v>193</v>
      </c>
      <c r="G188" s="5" t="s">
        <v>63</v>
      </c>
      <c r="H188" s="5" t="s">
        <v>21</v>
      </c>
      <c r="I188" s="5" t="s">
        <v>17</v>
      </c>
      <c r="J188" s="5" t="s">
        <v>28</v>
      </c>
      <c r="K188" s="3">
        <v>60</v>
      </c>
      <c r="L188" s="11">
        <f>jewels[[#This Row],[Unit Price]]/(1+40%)</f>
        <v>2364363.5714285714</v>
      </c>
      <c r="M188" s="11">
        <v>3310109</v>
      </c>
      <c r="N188" s="3">
        <v>2</v>
      </c>
      <c r="O188" s="11">
        <f>jewels[[#This Row],[Cost ]]*jewels[[#This Row],[Sales_Qty]]</f>
        <v>4728727.1428571427</v>
      </c>
      <c r="P188" s="11">
        <v>6620218</v>
      </c>
      <c r="Q188" s="11">
        <f>jewels[[#This Row],[Total Sales Value]]-jewels[[#This Row],[Cost Per Unit]]</f>
        <v>1891490.8571428573</v>
      </c>
      <c r="R188" s="13">
        <f>jewels[[#This Row],[Profit]]/jewels[[#This Row],[Cost Per Unit]]</f>
        <v>0.4</v>
      </c>
    </row>
    <row r="189" spans="1:18" x14ac:dyDescent="0.25">
      <c r="A189" s="3">
        <v>188</v>
      </c>
      <c r="B189" s="4">
        <v>44547</v>
      </c>
      <c r="C189" s="3">
        <v>2021</v>
      </c>
      <c r="D189" s="3">
        <v>12</v>
      </c>
      <c r="E189" s="5" t="s">
        <v>37</v>
      </c>
      <c r="F189" s="3">
        <v>162</v>
      </c>
      <c r="G189" s="5" t="s">
        <v>64</v>
      </c>
      <c r="H189" s="5" t="s">
        <v>26</v>
      </c>
      <c r="I189" s="5" t="s">
        <v>17</v>
      </c>
      <c r="J189" s="5" t="s">
        <v>45</v>
      </c>
      <c r="K189" s="3">
        <v>58</v>
      </c>
      <c r="L189" s="11">
        <f>jewels[[#This Row],[Unit Price]]/(1+40%)</f>
        <v>2721789.2857142859</v>
      </c>
      <c r="M189" s="11">
        <v>3810505</v>
      </c>
      <c r="N189" s="3">
        <v>6</v>
      </c>
      <c r="O189" s="11">
        <f>jewels[[#This Row],[Cost ]]*jewels[[#This Row],[Sales_Qty]]</f>
        <v>16330735.714285716</v>
      </c>
      <c r="P189" s="11">
        <v>22863030</v>
      </c>
      <c r="Q189" s="11">
        <f>jewels[[#This Row],[Total Sales Value]]-jewels[[#This Row],[Cost Per Unit]]</f>
        <v>6532294.2857142836</v>
      </c>
      <c r="R189" s="13">
        <f>jewels[[#This Row],[Profit]]/jewels[[#This Row],[Cost Per Unit]]</f>
        <v>0.3999999999999998</v>
      </c>
    </row>
    <row r="190" spans="1:18" x14ac:dyDescent="0.25">
      <c r="A190" s="3">
        <v>189</v>
      </c>
      <c r="B190" s="4">
        <v>43984</v>
      </c>
      <c r="C190" s="3">
        <v>2020</v>
      </c>
      <c r="D190" s="3">
        <v>6</v>
      </c>
      <c r="E190" s="5" t="s">
        <v>14</v>
      </c>
      <c r="F190" s="3">
        <v>28</v>
      </c>
      <c r="G190" s="5" t="s">
        <v>42</v>
      </c>
      <c r="H190" s="5" t="s">
        <v>26</v>
      </c>
      <c r="I190" s="5" t="s">
        <v>39</v>
      </c>
      <c r="J190" s="5" t="s">
        <v>50</v>
      </c>
      <c r="K190" s="3">
        <v>52</v>
      </c>
      <c r="L190" s="11">
        <f>jewels[[#This Row],[Unit Price]]/(1+40%)</f>
        <v>773947.85714285716</v>
      </c>
      <c r="M190" s="11">
        <v>1083527</v>
      </c>
      <c r="N190" s="3">
        <v>6</v>
      </c>
      <c r="O190" s="11">
        <f>jewels[[#This Row],[Cost ]]*jewels[[#This Row],[Sales_Qty]]</f>
        <v>4643687.1428571427</v>
      </c>
      <c r="P190" s="11">
        <v>6501162</v>
      </c>
      <c r="Q190" s="11">
        <f>jewels[[#This Row],[Total Sales Value]]-jewels[[#This Row],[Cost Per Unit]]</f>
        <v>1857474.8571428573</v>
      </c>
      <c r="R190" s="13">
        <f>jewels[[#This Row],[Profit]]/jewels[[#This Row],[Cost Per Unit]]</f>
        <v>0.4</v>
      </c>
    </row>
    <row r="191" spans="1:18" x14ac:dyDescent="0.25">
      <c r="A191" s="3">
        <v>190</v>
      </c>
      <c r="B191" s="4">
        <v>44819</v>
      </c>
      <c r="C191" s="3">
        <v>2022</v>
      </c>
      <c r="D191" s="3">
        <v>9</v>
      </c>
      <c r="E191" s="5" t="s">
        <v>33</v>
      </c>
      <c r="F191" s="3">
        <v>466</v>
      </c>
      <c r="G191" s="5" t="s">
        <v>34</v>
      </c>
      <c r="H191" s="5" t="s">
        <v>35</v>
      </c>
      <c r="I191" s="5" t="s">
        <v>29</v>
      </c>
      <c r="J191" s="5" t="s">
        <v>18</v>
      </c>
      <c r="K191" s="3">
        <v>72</v>
      </c>
      <c r="L191" s="11">
        <f>jewels[[#This Row],[Unit Price]]/(1+40%)</f>
        <v>4190297.1428571432</v>
      </c>
      <c r="M191" s="11">
        <v>5866416</v>
      </c>
      <c r="N191" s="3">
        <v>2</v>
      </c>
      <c r="O191" s="11">
        <f>jewels[[#This Row],[Cost ]]*jewels[[#This Row],[Sales_Qty]]</f>
        <v>8380594.2857142864</v>
      </c>
      <c r="P191" s="11">
        <v>11732832</v>
      </c>
      <c r="Q191" s="11">
        <f>jewels[[#This Row],[Total Sales Value]]-jewels[[#This Row],[Cost Per Unit]]</f>
        <v>3352237.7142857136</v>
      </c>
      <c r="R191" s="13">
        <f>jewels[[#This Row],[Profit]]/jewels[[#This Row],[Cost Per Unit]]</f>
        <v>0.39999999999999991</v>
      </c>
    </row>
    <row r="192" spans="1:18" x14ac:dyDescent="0.25">
      <c r="A192" s="3">
        <v>191</v>
      </c>
      <c r="B192" s="4">
        <v>44645</v>
      </c>
      <c r="C192" s="3">
        <v>2022</v>
      </c>
      <c r="D192" s="3">
        <v>3</v>
      </c>
      <c r="E192" s="5" t="s">
        <v>43</v>
      </c>
      <c r="F192" s="3">
        <v>122</v>
      </c>
      <c r="G192" s="5" t="s">
        <v>38</v>
      </c>
      <c r="H192" s="5" t="s">
        <v>35</v>
      </c>
      <c r="I192" s="5" t="s">
        <v>29</v>
      </c>
      <c r="J192" s="5" t="s">
        <v>50</v>
      </c>
      <c r="K192" s="3">
        <v>91</v>
      </c>
      <c r="L192" s="11">
        <f>jewels[[#This Row],[Unit Price]]/(1+40%)</f>
        <v>5638918.5714285718</v>
      </c>
      <c r="M192" s="11">
        <v>7894486</v>
      </c>
      <c r="N192" s="3">
        <v>10</v>
      </c>
      <c r="O192" s="11">
        <f>jewels[[#This Row],[Cost ]]*jewels[[#This Row],[Sales_Qty]]</f>
        <v>56389185.714285716</v>
      </c>
      <c r="P192" s="11">
        <v>78944860</v>
      </c>
      <c r="Q192" s="11">
        <f>jewels[[#This Row],[Total Sales Value]]-jewels[[#This Row],[Cost Per Unit]]</f>
        <v>22555674.285714284</v>
      </c>
      <c r="R192" s="13">
        <f>jewels[[#This Row],[Profit]]/jewels[[#This Row],[Cost Per Unit]]</f>
        <v>0.39999999999999997</v>
      </c>
    </row>
    <row r="193" spans="1:18" x14ac:dyDescent="0.25">
      <c r="A193" s="3">
        <v>192</v>
      </c>
      <c r="B193" s="4">
        <v>44568</v>
      </c>
      <c r="C193" s="3">
        <v>2022</v>
      </c>
      <c r="D193" s="3">
        <v>1</v>
      </c>
      <c r="E193" s="5" t="s">
        <v>41</v>
      </c>
      <c r="F193" s="3">
        <v>245</v>
      </c>
      <c r="G193" s="5" t="s">
        <v>42</v>
      </c>
      <c r="H193" s="5" t="s">
        <v>26</v>
      </c>
      <c r="I193" s="5" t="s">
        <v>40</v>
      </c>
      <c r="J193" s="5" t="s">
        <v>50</v>
      </c>
      <c r="K193" s="3">
        <v>87</v>
      </c>
      <c r="L193" s="11">
        <f>jewels[[#This Row],[Unit Price]]/(1+40%)</f>
        <v>547020</v>
      </c>
      <c r="M193" s="11">
        <v>765828</v>
      </c>
      <c r="N193" s="3">
        <v>10</v>
      </c>
      <c r="O193" s="11">
        <f>jewels[[#This Row],[Cost ]]*jewels[[#This Row],[Sales_Qty]]</f>
        <v>5470200</v>
      </c>
      <c r="P193" s="11">
        <v>7658280</v>
      </c>
      <c r="Q193" s="11">
        <f>jewels[[#This Row],[Total Sales Value]]-jewels[[#This Row],[Cost Per Unit]]</f>
        <v>2188080</v>
      </c>
      <c r="R193" s="13">
        <f>jewels[[#This Row],[Profit]]/jewels[[#This Row],[Cost Per Unit]]</f>
        <v>0.4</v>
      </c>
    </row>
    <row r="194" spans="1:18" x14ac:dyDescent="0.25">
      <c r="A194" s="3">
        <v>193</v>
      </c>
      <c r="B194" s="4">
        <v>45348</v>
      </c>
      <c r="C194" s="3">
        <v>2024</v>
      </c>
      <c r="D194" s="3">
        <v>2</v>
      </c>
      <c r="E194" s="5" t="s">
        <v>19</v>
      </c>
      <c r="F194" s="3">
        <v>50</v>
      </c>
      <c r="G194" s="5" t="s">
        <v>63</v>
      </c>
      <c r="H194" s="5" t="s">
        <v>21</v>
      </c>
      <c r="I194" s="5" t="s">
        <v>39</v>
      </c>
      <c r="J194" s="5" t="s">
        <v>50</v>
      </c>
      <c r="K194" s="3">
        <v>84</v>
      </c>
      <c r="L194" s="11">
        <f>jewels[[#This Row],[Unit Price]]/(1+40%)</f>
        <v>5413655.7142857146</v>
      </c>
      <c r="M194" s="11">
        <v>7579118</v>
      </c>
      <c r="N194" s="3">
        <v>10</v>
      </c>
      <c r="O194" s="11">
        <f>jewels[[#This Row],[Cost ]]*jewels[[#This Row],[Sales_Qty]]</f>
        <v>54136557.142857149</v>
      </c>
      <c r="P194" s="11">
        <v>75791180</v>
      </c>
      <c r="Q194" s="11">
        <f>jewels[[#This Row],[Total Sales Value]]-jewels[[#This Row],[Cost Per Unit]]</f>
        <v>21654622.857142851</v>
      </c>
      <c r="R194" s="13">
        <f>jewels[[#This Row],[Profit]]/jewels[[#This Row],[Cost Per Unit]]</f>
        <v>0.39999999999999986</v>
      </c>
    </row>
    <row r="195" spans="1:18" x14ac:dyDescent="0.25">
      <c r="A195" s="3">
        <v>194</v>
      </c>
      <c r="B195" s="4">
        <v>44190</v>
      </c>
      <c r="C195" s="3">
        <v>2020</v>
      </c>
      <c r="D195" s="3">
        <v>12</v>
      </c>
      <c r="E195" s="5" t="s">
        <v>37</v>
      </c>
      <c r="F195" s="3">
        <v>316</v>
      </c>
      <c r="G195" s="5" t="s">
        <v>64</v>
      </c>
      <c r="H195" s="5" t="s">
        <v>26</v>
      </c>
      <c r="I195" s="5" t="s">
        <v>29</v>
      </c>
      <c r="J195" s="5" t="s">
        <v>47</v>
      </c>
      <c r="K195" s="3">
        <v>76</v>
      </c>
      <c r="L195" s="11">
        <f>jewels[[#This Row],[Unit Price]]/(1+40%)</f>
        <v>3740563.5714285718</v>
      </c>
      <c r="M195" s="11">
        <v>5236789</v>
      </c>
      <c r="N195" s="3">
        <v>2</v>
      </c>
      <c r="O195" s="11">
        <f>jewels[[#This Row],[Cost ]]*jewels[[#This Row],[Sales_Qty]]</f>
        <v>7481127.1428571437</v>
      </c>
      <c r="P195" s="11">
        <v>10473578</v>
      </c>
      <c r="Q195" s="11">
        <f>jewels[[#This Row],[Total Sales Value]]-jewels[[#This Row],[Cost Per Unit]]</f>
        <v>2992450.8571428563</v>
      </c>
      <c r="R195" s="13">
        <f>jewels[[#This Row],[Profit]]/jewels[[#This Row],[Cost Per Unit]]</f>
        <v>0.39999999999999986</v>
      </c>
    </row>
    <row r="196" spans="1:18" x14ac:dyDescent="0.25">
      <c r="A196" s="3">
        <v>195</v>
      </c>
      <c r="B196" s="4">
        <v>43976</v>
      </c>
      <c r="C196" s="3">
        <v>2020</v>
      </c>
      <c r="D196" s="3">
        <v>5</v>
      </c>
      <c r="E196" s="5" t="s">
        <v>53</v>
      </c>
      <c r="F196" s="3">
        <v>367</v>
      </c>
      <c r="G196" s="5" t="s">
        <v>59</v>
      </c>
      <c r="H196" s="5" t="s">
        <v>56</v>
      </c>
      <c r="I196" s="5" t="s">
        <v>17</v>
      </c>
      <c r="J196" s="5" t="s">
        <v>45</v>
      </c>
      <c r="K196" s="3">
        <v>100</v>
      </c>
      <c r="L196" s="11">
        <f>jewels[[#This Row],[Unit Price]]/(1+40%)</f>
        <v>6820814.2857142864</v>
      </c>
      <c r="M196" s="11">
        <v>9549140</v>
      </c>
      <c r="N196" s="3">
        <v>5</v>
      </c>
      <c r="O196" s="11">
        <f>jewels[[#This Row],[Cost ]]*jewels[[#This Row],[Sales_Qty]]</f>
        <v>34104071.428571433</v>
      </c>
      <c r="P196" s="11">
        <v>47745700</v>
      </c>
      <c r="Q196" s="11">
        <f>jewels[[#This Row],[Total Sales Value]]-jewels[[#This Row],[Cost Per Unit]]</f>
        <v>13641628.571428567</v>
      </c>
      <c r="R196" s="13">
        <f>jewels[[#This Row],[Profit]]/jewels[[#This Row],[Cost Per Unit]]</f>
        <v>0.3999999999999998</v>
      </c>
    </row>
    <row r="197" spans="1:18" x14ac:dyDescent="0.25">
      <c r="A197" s="3">
        <v>196</v>
      </c>
      <c r="B197" s="4">
        <v>44351</v>
      </c>
      <c r="C197" s="3">
        <v>2021</v>
      </c>
      <c r="D197" s="3">
        <v>6</v>
      </c>
      <c r="E197" s="5" t="s">
        <v>14</v>
      </c>
      <c r="F197" s="3">
        <v>205</v>
      </c>
      <c r="G197" s="5" t="s">
        <v>63</v>
      </c>
      <c r="H197" s="5" t="s">
        <v>21</v>
      </c>
      <c r="I197" s="5" t="s">
        <v>40</v>
      </c>
      <c r="J197" s="5" t="s">
        <v>28</v>
      </c>
      <c r="K197" s="3">
        <v>64</v>
      </c>
      <c r="L197" s="11">
        <f>jewels[[#This Row],[Unit Price]]/(1+40%)</f>
        <v>5224769.2857142864</v>
      </c>
      <c r="M197" s="11">
        <v>7314677</v>
      </c>
      <c r="N197" s="3">
        <v>3</v>
      </c>
      <c r="O197" s="11">
        <f>jewels[[#This Row],[Cost ]]*jewels[[#This Row],[Sales_Qty]]</f>
        <v>15674307.857142858</v>
      </c>
      <c r="P197" s="11">
        <v>21944031</v>
      </c>
      <c r="Q197" s="11">
        <f>jewels[[#This Row],[Total Sales Value]]-jewels[[#This Row],[Cost Per Unit]]</f>
        <v>6269723.1428571418</v>
      </c>
      <c r="R197" s="13">
        <f>jewels[[#This Row],[Profit]]/jewels[[#This Row],[Cost Per Unit]]</f>
        <v>0.39999999999999991</v>
      </c>
    </row>
    <row r="198" spans="1:18" x14ac:dyDescent="0.25">
      <c r="A198" s="3">
        <v>197</v>
      </c>
      <c r="B198" s="4">
        <v>44754</v>
      </c>
      <c r="C198" s="3">
        <v>2022</v>
      </c>
      <c r="D198" s="3">
        <v>7</v>
      </c>
      <c r="E198" s="5" t="s">
        <v>49</v>
      </c>
      <c r="F198" s="3">
        <v>250</v>
      </c>
      <c r="G198" s="5" t="s">
        <v>64</v>
      </c>
      <c r="H198" s="5" t="s">
        <v>26</v>
      </c>
      <c r="I198" s="5" t="s">
        <v>29</v>
      </c>
      <c r="J198" s="5" t="s">
        <v>32</v>
      </c>
      <c r="K198" s="3">
        <v>90</v>
      </c>
      <c r="L198" s="11">
        <f>jewels[[#This Row],[Unit Price]]/(1+40%)</f>
        <v>1546483.5714285716</v>
      </c>
      <c r="M198" s="11">
        <v>2165077</v>
      </c>
      <c r="N198" s="3">
        <v>1</v>
      </c>
      <c r="O198" s="11">
        <f>jewels[[#This Row],[Cost ]]*jewels[[#This Row],[Sales_Qty]]</f>
        <v>1546483.5714285716</v>
      </c>
      <c r="P198" s="11">
        <v>2165077</v>
      </c>
      <c r="Q198" s="11">
        <f>jewels[[#This Row],[Total Sales Value]]-jewels[[#This Row],[Cost Per Unit]]</f>
        <v>618593.42857142841</v>
      </c>
      <c r="R198" s="13">
        <f>jewels[[#This Row],[Profit]]/jewels[[#This Row],[Cost Per Unit]]</f>
        <v>0.39999999999999986</v>
      </c>
    </row>
    <row r="199" spans="1:18" x14ac:dyDescent="0.25">
      <c r="A199" s="3">
        <v>198</v>
      </c>
      <c r="B199" s="4">
        <v>44083</v>
      </c>
      <c r="C199" s="3">
        <v>2020</v>
      </c>
      <c r="D199" s="3">
        <v>9</v>
      </c>
      <c r="E199" s="5" t="s">
        <v>33</v>
      </c>
      <c r="F199" s="3">
        <v>346</v>
      </c>
      <c r="G199" s="5" t="s">
        <v>42</v>
      </c>
      <c r="H199" s="5" t="s">
        <v>26</v>
      </c>
      <c r="I199" s="5" t="s">
        <v>17</v>
      </c>
      <c r="J199" s="5" t="s">
        <v>45</v>
      </c>
      <c r="K199" s="3">
        <v>59</v>
      </c>
      <c r="L199" s="11">
        <f>jewels[[#This Row],[Unit Price]]/(1+40%)</f>
        <v>730988.57142857148</v>
      </c>
      <c r="M199" s="11">
        <v>1023384</v>
      </c>
      <c r="N199" s="3">
        <v>6</v>
      </c>
      <c r="O199" s="11">
        <f>jewels[[#This Row],[Cost ]]*jewels[[#This Row],[Sales_Qty]]</f>
        <v>4385931.4285714291</v>
      </c>
      <c r="P199" s="11">
        <v>6140304</v>
      </c>
      <c r="Q199" s="11">
        <f>jewels[[#This Row],[Total Sales Value]]-jewels[[#This Row],[Cost Per Unit]]</f>
        <v>1754372.5714285709</v>
      </c>
      <c r="R199" s="13">
        <f>jewels[[#This Row],[Profit]]/jewels[[#This Row],[Cost Per Unit]]</f>
        <v>0.39999999999999986</v>
      </c>
    </row>
    <row r="200" spans="1:18" x14ac:dyDescent="0.25">
      <c r="A200" s="3">
        <v>199</v>
      </c>
      <c r="B200" s="4">
        <v>44985</v>
      </c>
      <c r="C200" s="3">
        <v>2023</v>
      </c>
      <c r="D200" s="3">
        <v>2</v>
      </c>
      <c r="E200" s="5" t="s">
        <v>19</v>
      </c>
      <c r="F200" s="3">
        <v>345</v>
      </c>
      <c r="G200" s="5" t="s">
        <v>48</v>
      </c>
      <c r="H200" s="5" t="s">
        <v>16</v>
      </c>
      <c r="I200" s="5" t="s">
        <v>17</v>
      </c>
      <c r="J200" s="5" t="s">
        <v>32</v>
      </c>
      <c r="K200" s="3">
        <v>87</v>
      </c>
      <c r="L200" s="11">
        <f>jewels[[#This Row],[Unit Price]]/(1+40%)</f>
        <v>2414144.2857142859</v>
      </c>
      <c r="M200" s="11">
        <v>3379802</v>
      </c>
      <c r="N200" s="3">
        <v>7</v>
      </c>
      <c r="O200" s="11">
        <f>jewels[[#This Row],[Cost ]]*jewels[[#This Row],[Sales_Qty]]</f>
        <v>16899010</v>
      </c>
      <c r="P200" s="11">
        <v>23658614</v>
      </c>
      <c r="Q200" s="11">
        <f>jewels[[#This Row],[Total Sales Value]]-jewels[[#This Row],[Cost Per Unit]]</f>
        <v>6759604</v>
      </c>
      <c r="R200" s="13">
        <f>jewels[[#This Row],[Profit]]/jewels[[#This Row],[Cost Per Unit]]</f>
        <v>0.4</v>
      </c>
    </row>
    <row r="201" spans="1:18" x14ac:dyDescent="0.25">
      <c r="A201" s="3">
        <v>200</v>
      </c>
      <c r="B201" s="4">
        <v>44882</v>
      </c>
      <c r="C201" s="3">
        <v>2022</v>
      </c>
      <c r="D201" s="3">
        <v>11</v>
      </c>
      <c r="E201" s="5" t="s">
        <v>58</v>
      </c>
      <c r="F201" s="3">
        <v>259</v>
      </c>
      <c r="G201" s="5" t="s">
        <v>54</v>
      </c>
      <c r="H201" s="5" t="s">
        <v>21</v>
      </c>
      <c r="I201" s="5" t="s">
        <v>22</v>
      </c>
      <c r="J201" s="5" t="s">
        <v>28</v>
      </c>
      <c r="K201" s="3">
        <v>59</v>
      </c>
      <c r="L201" s="11">
        <f>jewels[[#This Row],[Unit Price]]/(1+40%)</f>
        <v>1481044.2857142859</v>
      </c>
      <c r="M201" s="11">
        <v>2073462</v>
      </c>
      <c r="N201" s="3">
        <v>8</v>
      </c>
      <c r="O201" s="11">
        <f>jewels[[#This Row],[Cost ]]*jewels[[#This Row],[Sales_Qty]]</f>
        <v>11848354.285714287</v>
      </c>
      <c r="P201" s="11">
        <v>16587696</v>
      </c>
      <c r="Q201" s="11">
        <f>jewels[[#This Row],[Total Sales Value]]-jewels[[#This Row],[Cost Per Unit]]</f>
        <v>4739341.7142857127</v>
      </c>
      <c r="R201" s="13">
        <f>jewels[[#This Row],[Profit]]/jewels[[#This Row],[Cost Per Unit]]</f>
        <v>0.3999999999999998</v>
      </c>
    </row>
    <row r="202" spans="1:18" x14ac:dyDescent="0.25">
      <c r="A202" s="3">
        <v>201</v>
      </c>
      <c r="B202" s="4">
        <v>44471</v>
      </c>
      <c r="C202" s="3">
        <v>2021</v>
      </c>
      <c r="D202" s="3">
        <v>10</v>
      </c>
      <c r="E202" s="5" t="s">
        <v>61</v>
      </c>
      <c r="F202" s="3">
        <v>165</v>
      </c>
      <c r="G202" s="5" t="s">
        <v>42</v>
      </c>
      <c r="H202" s="5" t="s">
        <v>26</v>
      </c>
      <c r="I202" s="5" t="s">
        <v>22</v>
      </c>
      <c r="J202" s="5" t="s">
        <v>18</v>
      </c>
      <c r="K202" s="3">
        <v>88</v>
      </c>
      <c r="L202" s="11">
        <f>jewels[[#This Row],[Unit Price]]/(1+40%)</f>
        <v>6945895</v>
      </c>
      <c r="M202" s="11">
        <v>9724253</v>
      </c>
      <c r="N202" s="3">
        <v>4</v>
      </c>
      <c r="O202" s="11">
        <f>jewels[[#This Row],[Cost ]]*jewels[[#This Row],[Sales_Qty]]</f>
        <v>27783580</v>
      </c>
      <c r="P202" s="11">
        <v>38897012</v>
      </c>
      <c r="Q202" s="11">
        <f>jewels[[#This Row],[Total Sales Value]]-jewels[[#This Row],[Cost Per Unit]]</f>
        <v>11113432</v>
      </c>
      <c r="R202" s="13">
        <f>jewels[[#This Row],[Profit]]/jewels[[#This Row],[Cost Per Unit]]</f>
        <v>0.4</v>
      </c>
    </row>
    <row r="203" spans="1:18" x14ac:dyDescent="0.25">
      <c r="A203" s="3">
        <v>202</v>
      </c>
      <c r="B203" s="4">
        <v>44552</v>
      </c>
      <c r="C203" s="3">
        <v>2021</v>
      </c>
      <c r="D203" s="3">
        <v>12</v>
      </c>
      <c r="E203" s="5" t="s">
        <v>37</v>
      </c>
      <c r="F203" s="3">
        <v>207</v>
      </c>
      <c r="G203" s="5" t="s">
        <v>48</v>
      </c>
      <c r="H203" s="5" t="s">
        <v>16</v>
      </c>
      <c r="I203" s="5" t="s">
        <v>29</v>
      </c>
      <c r="J203" s="5" t="s">
        <v>50</v>
      </c>
      <c r="K203" s="3">
        <v>67</v>
      </c>
      <c r="L203" s="11">
        <f>jewels[[#This Row],[Unit Price]]/(1+40%)</f>
        <v>4697471.4285714291</v>
      </c>
      <c r="M203" s="11">
        <v>6576460</v>
      </c>
      <c r="N203" s="3">
        <v>10</v>
      </c>
      <c r="O203" s="11">
        <f>jewels[[#This Row],[Cost ]]*jewels[[#This Row],[Sales_Qty]]</f>
        <v>46974714.285714291</v>
      </c>
      <c r="P203" s="11">
        <v>65764600</v>
      </c>
      <c r="Q203" s="11">
        <f>jewels[[#This Row],[Total Sales Value]]-jewels[[#This Row],[Cost Per Unit]]</f>
        <v>18789885.714285709</v>
      </c>
      <c r="R203" s="13">
        <f>jewels[[#This Row],[Profit]]/jewels[[#This Row],[Cost Per Unit]]</f>
        <v>0.39999999999999986</v>
      </c>
    </row>
    <row r="204" spans="1:18" x14ac:dyDescent="0.25">
      <c r="A204" s="3">
        <v>203</v>
      </c>
      <c r="B204" s="4">
        <v>44378</v>
      </c>
      <c r="C204" s="3">
        <v>2021</v>
      </c>
      <c r="D204" s="3">
        <v>7</v>
      </c>
      <c r="E204" s="5" t="s">
        <v>49</v>
      </c>
      <c r="F204" s="3">
        <v>284</v>
      </c>
      <c r="G204" s="5" t="s">
        <v>59</v>
      </c>
      <c r="H204" s="5" t="s">
        <v>56</v>
      </c>
      <c r="I204" s="5" t="s">
        <v>27</v>
      </c>
      <c r="J204" s="5" t="s">
        <v>50</v>
      </c>
      <c r="K204" s="3">
        <v>96</v>
      </c>
      <c r="L204" s="11">
        <f>jewels[[#This Row],[Unit Price]]/(1+40%)</f>
        <v>6757532.8571428573</v>
      </c>
      <c r="M204" s="11">
        <v>9460546</v>
      </c>
      <c r="N204" s="3">
        <v>9</v>
      </c>
      <c r="O204" s="11">
        <f>jewels[[#This Row],[Cost ]]*jewels[[#This Row],[Sales_Qty]]</f>
        <v>60817795.714285716</v>
      </c>
      <c r="P204" s="11">
        <v>85144914</v>
      </c>
      <c r="Q204" s="11">
        <f>jewels[[#This Row],[Total Sales Value]]-jewels[[#This Row],[Cost Per Unit]]</f>
        <v>24327118.285714284</v>
      </c>
      <c r="R204" s="13">
        <f>jewels[[#This Row],[Profit]]/jewels[[#This Row],[Cost Per Unit]]</f>
        <v>0.39999999999999997</v>
      </c>
    </row>
    <row r="205" spans="1:18" x14ac:dyDescent="0.25">
      <c r="A205" s="3">
        <v>204</v>
      </c>
      <c r="B205" s="4">
        <v>45180</v>
      </c>
      <c r="C205" s="3">
        <v>2023</v>
      </c>
      <c r="D205" s="3">
        <v>9</v>
      </c>
      <c r="E205" s="5" t="s">
        <v>33</v>
      </c>
      <c r="F205" s="3">
        <v>18</v>
      </c>
      <c r="G205" s="5" t="s">
        <v>34</v>
      </c>
      <c r="H205" s="5" t="s">
        <v>35</v>
      </c>
      <c r="I205" s="5" t="s">
        <v>40</v>
      </c>
      <c r="J205" s="5" t="s">
        <v>45</v>
      </c>
      <c r="K205" s="3">
        <v>71</v>
      </c>
      <c r="L205" s="11">
        <f>jewels[[#This Row],[Unit Price]]/(1+40%)</f>
        <v>4943607.8571428573</v>
      </c>
      <c r="M205" s="11">
        <v>6921051</v>
      </c>
      <c r="N205" s="3">
        <v>5</v>
      </c>
      <c r="O205" s="11">
        <f>jewels[[#This Row],[Cost ]]*jewels[[#This Row],[Sales_Qty]]</f>
        <v>24718039.285714287</v>
      </c>
      <c r="P205" s="11">
        <v>34605255</v>
      </c>
      <c r="Q205" s="11">
        <f>jewels[[#This Row],[Total Sales Value]]-jewels[[#This Row],[Cost Per Unit]]</f>
        <v>9887215.7142857127</v>
      </c>
      <c r="R205" s="13">
        <f>jewels[[#This Row],[Profit]]/jewels[[#This Row],[Cost Per Unit]]</f>
        <v>0.39999999999999991</v>
      </c>
    </row>
    <row r="206" spans="1:18" x14ac:dyDescent="0.25">
      <c r="A206" s="3">
        <v>205</v>
      </c>
      <c r="B206" s="4">
        <v>44524</v>
      </c>
      <c r="C206" s="3">
        <v>2021</v>
      </c>
      <c r="D206" s="3">
        <v>11</v>
      </c>
      <c r="E206" s="5" t="s">
        <v>58</v>
      </c>
      <c r="F206" s="3">
        <v>454</v>
      </c>
      <c r="G206" s="5" t="s">
        <v>25</v>
      </c>
      <c r="H206" s="5" t="s">
        <v>26</v>
      </c>
      <c r="I206" s="5" t="s">
        <v>39</v>
      </c>
      <c r="J206" s="5" t="s">
        <v>50</v>
      </c>
      <c r="K206" s="3">
        <v>62</v>
      </c>
      <c r="L206" s="11">
        <f>jewels[[#This Row],[Unit Price]]/(1+40%)</f>
        <v>4631026.4285714291</v>
      </c>
      <c r="M206" s="11">
        <v>6483437</v>
      </c>
      <c r="N206" s="3">
        <v>5</v>
      </c>
      <c r="O206" s="11">
        <f>jewels[[#This Row],[Cost ]]*jewels[[#This Row],[Sales_Qty]]</f>
        <v>23155132.142857146</v>
      </c>
      <c r="P206" s="11">
        <v>32417185</v>
      </c>
      <c r="Q206" s="11">
        <f>jewels[[#This Row],[Total Sales Value]]-jewels[[#This Row],[Cost Per Unit]]</f>
        <v>9262052.8571428545</v>
      </c>
      <c r="R206" s="13">
        <f>jewels[[#This Row],[Profit]]/jewels[[#This Row],[Cost Per Unit]]</f>
        <v>0.39999999999999986</v>
      </c>
    </row>
    <row r="207" spans="1:18" x14ac:dyDescent="0.25">
      <c r="A207" s="3">
        <v>206</v>
      </c>
      <c r="B207" s="4">
        <v>44779</v>
      </c>
      <c r="C207" s="3">
        <v>2022</v>
      </c>
      <c r="D207" s="3">
        <v>8</v>
      </c>
      <c r="E207" s="5" t="s">
        <v>51</v>
      </c>
      <c r="F207" s="3">
        <v>305</v>
      </c>
      <c r="G207" s="5" t="s">
        <v>25</v>
      </c>
      <c r="H207" s="5" t="s">
        <v>26</v>
      </c>
      <c r="I207" s="5" t="s">
        <v>17</v>
      </c>
      <c r="J207" s="5" t="s">
        <v>44</v>
      </c>
      <c r="K207" s="3">
        <v>92</v>
      </c>
      <c r="L207" s="11">
        <f>jewels[[#This Row],[Unit Price]]/(1+40%)</f>
        <v>1947859.2857142859</v>
      </c>
      <c r="M207" s="11">
        <v>2727003</v>
      </c>
      <c r="N207" s="3">
        <v>10</v>
      </c>
      <c r="O207" s="11">
        <f>jewels[[#This Row],[Cost ]]*jewels[[#This Row],[Sales_Qty]]</f>
        <v>19478592.857142858</v>
      </c>
      <c r="P207" s="11">
        <v>27270030</v>
      </c>
      <c r="Q207" s="11">
        <f>jewels[[#This Row],[Total Sales Value]]-jewels[[#This Row],[Cost Per Unit]]</f>
        <v>7791437.1428571418</v>
      </c>
      <c r="R207" s="13">
        <f>jewels[[#This Row],[Profit]]/jewels[[#This Row],[Cost Per Unit]]</f>
        <v>0.39999999999999991</v>
      </c>
    </row>
    <row r="208" spans="1:18" x14ac:dyDescent="0.25">
      <c r="A208" s="3">
        <v>207</v>
      </c>
      <c r="B208" s="4">
        <v>44869</v>
      </c>
      <c r="C208" s="3">
        <v>2022</v>
      </c>
      <c r="D208" s="3">
        <v>11</v>
      </c>
      <c r="E208" s="5" t="s">
        <v>58</v>
      </c>
      <c r="F208" s="3">
        <v>390</v>
      </c>
      <c r="G208" s="5" t="s">
        <v>62</v>
      </c>
      <c r="H208" s="5" t="s">
        <v>56</v>
      </c>
      <c r="I208" s="5" t="s">
        <v>39</v>
      </c>
      <c r="J208" s="5" t="s">
        <v>50</v>
      </c>
      <c r="K208" s="3">
        <v>89</v>
      </c>
      <c r="L208" s="11">
        <f>jewels[[#This Row],[Unit Price]]/(1+40%)</f>
        <v>3082213.5714285718</v>
      </c>
      <c r="M208" s="11">
        <v>4315099</v>
      </c>
      <c r="N208" s="3">
        <v>4</v>
      </c>
      <c r="O208" s="11">
        <f>jewels[[#This Row],[Cost ]]*jewels[[#This Row],[Sales_Qty]]</f>
        <v>12328854.285714287</v>
      </c>
      <c r="P208" s="11">
        <v>17260396</v>
      </c>
      <c r="Q208" s="11">
        <f>jewels[[#This Row],[Total Sales Value]]-jewels[[#This Row],[Cost Per Unit]]</f>
        <v>4931541.7142857127</v>
      </c>
      <c r="R208" s="13">
        <f>jewels[[#This Row],[Profit]]/jewels[[#This Row],[Cost Per Unit]]</f>
        <v>0.3999999999999998</v>
      </c>
    </row>
    <row r="209" spans="1:18" x14ac:dyDescent="0.25">
      <c r="A209" s="3">
        <v>208</v>
      </c>
      <c r="B209" s="4">
        <v>45337</v>
      </c>
      <c r="C209" s="3">
        <v>2024</v>
      </c>
      <c r="D209" s="3">
        <v>2</v>
      </c>
      <c r="E209" s="5" t="s">
        <v>19</v>
      </c>
      <c r="F209" s="3">
        <v>76</v>
      </c>
      <c r="G209" s="5" t="s">
        <v>31</v>
      </c>
      <c r="H209" s="5" t="s">
        <v>26</v>
      </c>
      <c r="I209" s="5" t="s">
        <v>17</v>
      </c>
      <c r="J209" s="5" t="s">
        <v>30</v>
      </c>
      <c r="K209" s="3">
        <v>72</v>
      </c>
      <c r="L209" s="11">
        <f>jewels[[#This Row],[Unit Price]]/(1+40%)</f>
        <v>4298440.7142857146</v>
      </c>
      <c r="M209" s="11">
        <v>6017817</v>
      </c>
      <c r="N209" s="3">
        <v>3</v>
      </c>
      <c r="O209" s="11">
        <f>jewels[[#This Row],[Cost ]]*jewels[[#This Row],[Sales_Qty]]</f>
        <v>12895322.142857144</v>
      </c>
      <c r="P209" s="11">
        <v>18053451</v>
      </c>
      <c r="Q209" s="11">
        <f>jewels[[#This Row],[Total Sales Value]]-jewels[[#This Row],[Cost Per Unit]]</f>
        <v>5158128.8571428563</v>
      </c>
      <c r="R209" s="13">
        <f>jewels[[#This Row],[Profit]]/jewels[[#This Row],[Cost Per Unit]]</f>
        <v>0.39999999999999991</v>
      </c>
    </row>
    <row r="210" spans="1:18" x14ac:dyDescent="0.25">
      <c r="A210" s="3">
        <v>209</v>
      </c>
      <c r="B210" s="4">
        <v>45212</v>
      </c>
      <c r="C210" s="3">
        <v>2023</v>
      </c>
      <c r="D210" s="3">
        <v>10</v>
      </c>
      <c r="E210" s="5" t="s">
        <v>61</v>
      </c>
      <c r="F210" s="3">
        <v>451</v>
      </c>
      <c r="G210" s="5" t="s">
        <v>64</v>
      </c>
      <c r="H210" s="5" t="s">
        <v>26</v>
      </c>
      <c r="I210" s="5" t="s">
        <v>27</v>
      </c>
      <c r="J210" s="5" t="s">
        <v>45</v>
      </c>
      <c r="K210" s="3">
        <v>60</v>
      </c>
      <c r="L210" s="11">
        <f>jewels[[#This Row],[Unit Price]]/(1+40%)</f>
        <v>2413942.1428571432</v>
      </c>
      <c r="M210" s="11">
        <v>3379519</v>
      </c>
      <c r="N210" s="3">
        <v>9</v>
      </c>
      <c r="O210" s="11">
        <f>jewels[[#This Row],[Cost ]]*jewels[[#This Row],[Sales_Qty]]</f>
        <v>21725479.285714287</v>
      </c>
      <c r="P210" s="11">
        <v>30415671</v>
      </c>
      <c r="Q210" s="11">
        <f>jewels[[#This Row],[Total Sales Value]]-jewels[[#This Row],[Cost Per Unit]]</f>
        <v>8690191.7142857127</v>
      </c>
      <c r="R210" s="13">
        <f>jewels[[#This Row],[Profit]]/jewels[[#This Row],[Cost Per Unit]]</f>
        <v>0.39999999999999991</v>
      </c>
    </row>
    <row r="211" spans="1:18" x14ac:dyDescent="0.25">
      <c r="A211" s="3">
        <v>210</v>
      </c>
      <c r="B211" s="4">
        <v>44765</v>
      </c>
      <c r="C211" s="3">
        <v>2022</v>
      </c>
      <c r="D211" s="3">
        <v>7</v>
      </c>
      <c r="E211" s="5" t="s">
        <v>49</v>
      </c>
      <c r="F211" s="3">
        <v>260</v>
      </c>
      <c r="G211" s="5" t="s">
        <v>59</v>
      </c>
      <c r="H211" s="5" t="s">
        <v>56</v>
      </c>
      <c r="I211" s="5" t="s">
        <v>40</v>
      </c>
      <c r="J211" s="5" t="s">
        <v>44</v>
      </c>
      <c r="K211" s="3">
        <v>87</v>
      </c>
      <c r="L211" s="11">
        <f>jewels[[#This Row],[Unit Price]]/(1+40%)</f>
        <v>6401477.8571428573</v>
      </c>
      <c r="M211" s="11">
        <v>8962069</v>
      </c>
      <c r="N211" s="3">
        <v>9</v>
      </c>
      <c r="O211" s="11">
        <f>jewels[[#This Row],[Cost ]]*jewels[[#This Row],[Sales_Qty]]</f>
        <v>57613300.714285716</v>
      </c>
      <c r="P211" s="11">
        <v>80658621</v>
      </c>
      <c r="Q211" s="11">
        <f>jewels[[#This Row],[Total Sales Value]]-jewels[[#This Row],[Cost Per Unit]]</f>
        <v>23045320.285714284</v>
      </c>
      <c r="R211" s="13">
        <f>jewels[[#This Row],[Profit]]/jewels[[#This Row],[Cost Per Unit]]</f>
        <v>0.39999999999999997</v>
      </c>
    </row>
    <row r="212" spans="1:18" x14ac:dyDescent="0.25">
      <c r="A212" s="3">
        <v>211</v>
      </c>
      <c r="B212" s="4">
        <v>44854</v>
      </c>
      <c r="C212" s="3">
        <v>2022</v>
      </c>
      <c r="D212" s="3">
        <v>10</v>
      </c>
      <c r="E212" s="5" t="s">
        <v>61</v>
      </c>
      <c r="F212" s="3">
        <v>428</v>
      </c>
      <c r="G212" s="5" t="s">
        <v>25</v>
      </c>
      <c r="H212" s="5" t="s">
        <v>26</v>
      </c>
      <c r="I212" s="5" t="s">
        <v>40</v>
      </c>
      <c r="J212" s="5" t="s">
        <v>18</v>
      </c>
      <c r="K212" s="3">
        <v>76</v>
      </c>
      <c r="L212" s="11">
        <f>jewels[[#This Row],[Unit Price]]/(1+40%)</f>
        <v>4552241.4285714291</v>
      </c>
      <c r="M212" s="11">
        <v>6373138</v>
      </c>
      <c r="N212" s="3">
        <v>2</v>
      </c>
      <c r="O212" s="11">
        <f>jewels[[#This Row],[Cost ]]*jewels[[#This Row],[Sales_Qty]]</f>
        <v>9104482.8571428582</v>
      </c>
      <c r="P212" s="11">
        <v>12746276</v>
      </c>
      <c r="Q212" s="11">
        <f>jewels[[#This Row],[Total Sales Value]]-jewels[[#This Row],[Cost Per Unit]]</f>
        <v>3641793.1428571418</v>
      </c>
      <c r="R212" s="13">
        <f>jewels[[#This Row],[Profit]]/jewels[[#This Row],[Cost Per Unit]]</f>
        <v>0.39999999999999986</v>
      </c>
    </row>
    <row r="213" spans="1:18" x14ac:dyDescent="0.25">
      <c r="A213" s="3">
        <v>212</v>
      </c>
      <c r="B213" s="4">
        <v>44075</v>
      </c>
      <c r="C213" s="3">
        <v>2020</v>
      </c>
      <c r="D213" s="3">
        <v>9</v>
      </c>
      <c r="E213" s="5" t="s">
        <v>33</v>
      </c>
      <c r="F213" s="3">
        <v>450</v>
      </c>
      <c r="G213" s="5" t="s">
        <v>65</v>
      </c>
      <c r="H213" s="5" t="s">
        <v>56</v>
      </c>
      <c r="I213" s="5" t="s">
        <v>22</v>
      </c>
      <c r="J213" s="5" t="s">
        <v>45</v>
      </c>
      <c r="K213" s="3">
        <v>56</v>
      </c>
      <c r="L213" s="11">
        <f>jewels[[#This Row],[Unit Price]]/(1+40%)</f>
        <v>1769273.5714285716</v>
      </c>
      <c r="M213" s="11">
        <v>2476983</v>
      </c>
      <c r="N213" s="3">
        <v>10</v>
      </c>
      <c r="O213" s="11">
        <f>jewels[[#This Row],[Cost ]]*jewels[[#This Row],[Sales_Qty]]</f>
        <v>17692735.714285716</v>
      </c>
      <c r="P213" s="11">
        <v>24769830</v>
      </c>
      <c r="Q213" s="11">
        <f>jewels[[#This Row],[Total Sales Value]]-jewels[[#This Row],[Cost Per Unit]]</f>
        <v>7077094.2857142836</v>
      </c>
      <c r="R213" s="13">
        <f>jewels[[#This Row],[Profit]]/jewels[[#This Row],[Cost Per Unit]]</f>
        <v>0.39999999999999986</v>
      </c>
    </row>
    <row r="214" spans="1:18" x14ac:dyDescent="0.25">
      <c r="A214" s="3">
        <v>213</v>
      </c>
      <c r="B214" s="4">
        <v>44137</v>
      </c>
      <c r="C214" s="3">
        <v>2020</v>
      </c>
      <c r="D214" s="3">
        <v>11</v>
      </c>
      <c r="E214" s="5" t="s">
        <v>58</v>
      </c>
      <c r="F214" s="3">
        <v>496</v>
      </c>
      <c r="G214" s="5" t="s">
        <v>20</v>
      </c>
      <c r="H214" s="5" t="s">
        <v>21</v>
      </c>
      <c r="I214" s="5" t="s">
        <v>22</v>
      </c>
      <c r="J214" s="5" t="s">
        <v>32</v>
      </c>
      <c r="K214" s="3">
        <v>55</v>
      </c>
      <c r="L214" s="11">
        <f>jewels[[#This Row],[Unit Price]]/(1+40%)</f>
        <v>4510717.8571428573</v>
      </c>
      <c r="M214" s="11">
        <v>6315005</v>
      </c>
      <c r="N214" s="3">
        <v>5</v>
      </c>
      <c r="O214" s="11">
        <f>jewels[[#This Row],[Cost ]]*jewels[[#This Row],[Sales_Qty]]</f>
        <v>22553589.285714287</v>
      </c>
      <c r="P214" s="11">
        <v>31575025</v>
      </c>
      <c r="Q214" s="11">
        <f>jewels[[#This Row],[Total Sales Value]]-jewels[[#This Row],[Cost Per Unit]]</f>
        <v>9021435.7142857127</v>
      </c>
      <c r="R214" s="13">
        <f>jewels[[#This Row],[Profit]]/jewels[[#This Row],[Cost Per Unit]]</f>
        <v>0.39999999999999991</v>
      </c>
    </row>
    <row r="215" spans="1:18" x14ac:dyDescent="0.25">
      <c r="A215" s="3">
        <v>214</v>
      </c>
      <c r="B215" s="4">
        <v>44018</v>
      </c>
      <c r="C215" s="3">
        <v>2020</v>
      </c>
      <c r="D215" s="3">
        <v>7</v>
      </c>
      <c r="E215" s="5" t="s">
        <v>49</v>
      </c>
      <c r="F215" s="3">
        <v>174</v>
      </c>
      <c r="G215" s="5" t="s">
        <v>25</v>
      </c>
      <c r="H215" s="5" t="s">
        <v>26</v>
      </c>
      <c r="I215" s="5" t="s">
        <v>27</v>
      </c>
      <c r="J215" s="5" t="s">
        <v>30</v>
      </c>
      <c r="K215" s="3">
        <v>92</v>
      </c>
      <c r="L215" s="11">
        <f>jewels[[#This Row],[Unit Price]]/(1+40%)</f>
        <v>4894943.5714285718</v>
      </c>
      <c r="M215" s="11">
        <v>6852921</v>
      </c>
      <c r="N215" s="3">
        <v>2</v>
      </c>
      <c r="O215" s="11">
        <f>jewels[[#This Row],[Cost ]]*jewels[[#This Row],[Sales_Qty]]</f>
        <v>9789887.1428571437</v>
      </c>
      <c r="P215" s="11">
        <v>13705842</v>
      </c>
      <c r="Q215" s="11">
        <f>jewels[[#This Row],[Total Sales Value]]-jewels[[#This Row],[Cost Per Unit]]</f>
        <v>3915954.8571428563</v>
      </c>
      <c r="R215" s="13">
        <f>jewels[[#This Row],[Profit]]/jewels[[#This Row],[Cost Per Unit]]</f>
        <v>0.39999999999999991</v>
      </c>
    </row>
    <row r="216" spans="1:18" x14ac:dyDescent="0.25">
      <c r="A216" s="3">
        <v>215</v>
      </c>
      <c r="B216" s="4">
        <v>44567</v>
      </c>
      <c r="C216" s="3">
        <v>2022</v>
      </c>
      <c r="D216" s="3">
        <v>1</v>
      </c>
      <c r="E216" s="5" t="s">
        <v>41</v>
      </c>
      <c r="F216" s="3">
        <v>64</v>
      </c>
      <c r="G216" s="5" t="s">
        <v>55</v>
      </c>
      <c r="H216" s="5" t="s">
        <v>56</v>
      </c>
      <c r="I216" s="5" t="s">
        <v>29</v>
      </c>
      <c r="J216" s="5" t="s">
        <v>23</v>
      </c>
      <c r="K216" s="3">
        <v>87</v>
      </c>
      <c r="L216" s="11">
        <f>jewels[[#This Row],[Unit Price]]/(1+40%)</f>
        <v>4145587.1428571432</v>
      </c>
      <c r="M216" s="11">
        <v>5803822</v>
      </c>
      <c r="N216" s="3">
        <v>2</v>
      </c>
      <c r="O216" s="11">
        <f>jewels[[#This Row],[Cost ]]*jewels[[#This Row],[Sales_Qty]]</f>
        <v>8291174.2857142864</v>
      </c>
      <c r="P216" s="11">
        <v>11607644</v>
      </c>
      <c r="Q216" s="11">
        <f>jewels[[#This Row],[Total Sales Value]]-jewels[[#This Row],[Cost Per Unit]]</f>
        <v>3316469.7142857136</v>
      </c>
      <c r="R216" s="13">
        <f>jewels[[#This Row],[Profit]]/jewels[[#This Row],[Cost Per Unit]]</f>
        <v>0.39999999999999991</v>
      </c>
    </row>
    <row r="217" spans="1:18" x14ac:dyDescent="0.25">
      <c r="A217" s="3">
        <v>216</v>
      </c>
      <c r="B217" s="4">
        <v>44984</v>
      </c>
      <c r="C217" s="3">
        <v>2023</v>
      </c>
      <c r="D217" s="3">
        <v>2</v>
      </c>
      <c r="E217" s="5" t="s">
        <v>19</v>
      </c>
      <c r="F217" s="3">
        <v>486</v>
      </c>
      <c r="G217" s="5" t="s">
        <v>34</v>
      </c>
      <c r="H217" s="5" t="s">
        <v>35</v>
      </c>
      <c r="I217" s="5" t="s">
        <v>40</v>
      </c>
      <c r="J217" s="5" t="s">
        <v>32</v>
      </c>
      <c r="K217" s="3">
        <v>68</v>
      </c>
      <c r="L217" s="11">
        <f>jewels[[#This Row],[Unit Price]]/(1+40%)</f>
        <v>4132402.1428571432</v>
      </c>
      <c r="M217" s="11">
        <v>5785363</v>
      </c>
      <c r="N217" s="3">
        <v>10</v>
      </c>
      <c r="O217" s="11">
        <f>jewels[[#This Row],[Cost ]]*jewels[[#This Row],[Sales_Qty]]</f>
        <v>41324021.428571433</v>
      </c>
      <c r="P217" s="11">
        <v>57853630</v>
      </c>
      <c r="Q217" s="11">
        <f>jewels[[#This Row],[Total Sales Value]]-jewels[[#This Row],[Cost Per Unit]]</f>
        <v>16529608.571428567</v>
      </c>
      <c r="R217" s="13">
        <f>jewels[[#This Row],[Profit]]/jewels[[#This Row],[Cost Per Unit]]</f>
        <v>0.39999999999999986</v>
      </c>
    </row>
    <row r="218" spans="1:18" x14ac:dyDescent="0.25">
      <c r="A218" s="3">
        <v>217</v>
      </c>
      <c r="B218" s="4">
        <v>44167</v>
      </c>
      <c r="C218" s="3">
        <v>2020</v>
      </c>
      <c r="D218" s="3">
        <v>12</v>
      </c>
      <c r="E218" s="5" t="s">
        <v>37</v>
      </c>
      <c r="F218" s="3">
        <v>179</v>
      </c>
      <c r="G218" s="5" t="s">
        <v>57</v>
      </c>
      <c r="H218" s="5" t="s">
        <v>35</v>
      </c>
      <c r="I218" s="5" t="s">
        <v>27</v>
      </c>
      <c r="J218" s="5" t="s">
        <v>44</v>
      </c>
      <c r="K218" s="3">
        <v>85</v>
      </c>
      <c r="L218" s="11">
        <f>jewels[[#This Row],[Unit Price]]/(1+40%)</f>
        <v>1061697.142857143</v>
      </c>
      <c r="M218" s="11">
        <v>1486376</v>
      </c>
      <c r="N218" s="3">
        <v>2</v>
      </c>
      <c r="O218" s="11">
        <f>jewels[[#This Row],[Cost ]]*jewels[[#This Row],[Sales_Qty]]</f>
        <v>2123394.2857142859</v>
      </c>
      <c r="P218" s="11">
        <v>2972752</v>
      </c>
      <c r="Q218" s="11">
        <f>jewels[[#This Row],[Total Sales Value]]-jewels[[#This Row],[Cost Per Unit]]</f>
        <v>849357.71428571409</v>
      </c>
      <c r="R218" s="13">
        <f>jewels[[#This Row],[Profit]]/jewels[[#This Row],[Cost Per Unit]]</f>
        <v>0.39999999999999986</v>
      </c>
    </row>
    <row r="219" spans="1:18" x14ac:dyDescent="0.25">
      <c r="A219" s="3">
        <v>218</v>
      </c>
      <c r="B219" s="4">
        <v>44308</v>
      </c>
      <c r="C219" s="3">
        <v>2021</v>
      </c>
      <c r="D219" s="3">
        <v>4</v>
      </c>
      <c r="E219" s="5" t="s">
        <v>24</v>
      </c>
      <c r="F219" s="3">
        <v>222</v>
      </c>
      <c r="G219" s="5" t="s">
        <v>20</v>
      </c>
      <c r="H219" s="5" t="s">
        <v>21</v>
      </c>
      <c r="I219" s="5" t="s">
        <v>27</v>
      </c>
      <c r="J219" s="5" t="s">
        <v>45</v>
      </c>
      <c r="K219" s="3">
        <v>97</v>
      </c>
      <c r="L219" s="11">
        <f>jewels[[#This Row],[Unit Price]]/(1+40%)</f>
        <v>2412526.4285714286</v>
      </c>
      <c r="M219" s="11">
        <v>3377537</v>
      </c>
      <c r="N219" s="3">
        <v>8</v>
      </c>
      <c r="O219" s="11">
        <f>jewels[[#This Row],[Cost ]]*jewels[[#This Row],[Sales_Qty]]</f>
        <v>19300211.428571429</v>
      </c>
      <c r="P219" s="11">
        <v>27020296</v>
      </c>
      <c r="Q219" s="11">
        <f>jewels[[#This Row],[Total Sales Value]]-jewels[[#This Row],[Cost Per Unit]]</f>
        <v>7720084.5714285709</v>
      </c>
      <c r="R219" s="13">
        <f>jewels[[#This Row],[Profit]]/jewels[[#This Row],[Cost Per Unit]]</f>
        <v>0.39999999999999997</v>
      </c>
    </row>
    <row r="220" spans="1:18" x14ac:dyDescent="0.25">
      <c r="A220" s="3">
        <v>219</v>
      </c>
      <c r="B220" s="4">
        <v>44024</v>
      </c>
      <c r="C220" s="3">
        <v>2020</v>
      </c>
      <c r="D220" s="3">
        <v>7</v>
      </c>
      <c r="E220" s="5" t="s">
        <v>49</v>
      </c>
      <c r="F220" s="3">
        <v>495</v>
      </c>
      <c r="G220" s="5" t="s">
        <v>46</v>
      </c>
      <c r="H220" s="5" t="s">
        <v>35</v>
      </c>
      <c r="I220" s="5" t="s">
        <v>22</v>
      </c>
      <c r="J220" s="5" t="s">
        <v>45</v>
      </c>
      <c r="K220" s="3">
        <v>79</v>
      </c>
      <c r="L220" s="11">
        <f>jewels[[#This Row],[Unit Price]]/(1+40%)</f>
        <v>3329430.7142857146</v>
      </c>
      <c r="M220" s="11">
        <v>4661203</v>
      </c>
      <c r="N220" s="3">
        <v>3</v>
      </c>
      <c r="O220" s="11">
        <f>jewels[[#This Row],[Cost ]]*jewels[[#This Row],[Sales_Qty]]</f>
        <v>9988292.1428571437</v>
      </c>
      <c r="P220" s="11">
        <v>13983609</v>
      </c>
      <c r="Q220" s="11">
        <f>jewels[[#This Row],[Total Sales Value]]-jewels[[#This Row],[Cost Per Unit]]</f>
        <v>3995316.8571428563</v>
      </c>
      <c r="R220" s="13">
        <f>jewels[[#This Row],[Profit]]/jewels[[#This Row],[Cost Per Unit]]</f>
        <v>0.39999999999999991</v>
      </c>
    </row>
    <row r="221" spans="1:18" x14ac:dyDescent="0.25">
      <c r="A221" s="3">
        <v>220</v>
      </c>
      <c r="B221" s="4">
        <v>44173</v>
      </c>
      <c r="C221" s="3">
        <v>2020</v>
      </c>
      <c r="D221" s="3">
        <v>12</v>
      </c>
      <c r="E221" s="5" t="s">
        <v>37</v>
      </c>
      <c r="F221" s="3">
        <v>84</v>
      </c>
      <c r="G221" s="5" t="s">
        <v>52</v>
      </c>
      <c r="H221" s="5" t="s">
        <v>21</v>
      </c>
      <c r="I221" s="5" t="s">
        <v>39</v>
      </c>
      <c r="J221" s="5" t="s">
        <v>47</v>
      </c>
      <c r="K221" s="3">
        <v>59</v>
      </c>
      <c r="L221" s="11">
        <f>jewels[[#This Row],[Unit Price]]/(1+40%)</f>
        <v>2531737.8571428573</v>
      </c>
      <c r="M221" s="11">
        <v>3544433</v>
      </c>
      <c r="N221" s="3">
        <v>7</v>
      </c>
      <c r="O221" s="11">
        <f>jewels[[#This Row],[Cost ]]*jewels[[#This Row],[Sales_Qty]]</f>
        <v>17722165</v>
      </c>
      <c r="P221" s="11">
        <v>24811031</v>
      </c>
      <c r="Q221" s="11">
        <f>jewels[[#This Row],[Total Sales Value]]-jewels[[#This Row],[Cost Per Unit]]</f>
        <v>7088866</v>
      </c>
      <c r="R221" s="13">
        <f>jewels[[#This Row],[Profit]]/jewels[[#This Row],[Cost Per Unit]]</f>
        <v>0.4</v>
      </c>
    </row>
    <row r="222" spans="1:18" x14ac:dyDescent="0.25">
      <c r="A222" s="3">
        <v>221</v>
      </c>
      <c r="B222" s="4">
        <v>44867</v>
      </c>
      <c r="C222" s="3">
        <v>2022</v>
      </c>
      <c r="D222" s="3">
        <v>11</v>
      </c>
      <c r="E222" s="5" t="s">
        <v>58</v>
      </c>
      <c r="F222" s="3">
        <v>465</v>
      </c>
      <c r="G222" s="5" t="s">
        <v>31</v>
      </c>
      <c r="H222" s="5" t="s">
        <v>26</v>
      </c>
      <c r="I222" s="5" t="s">
        <v>27</v>
      </c>
      <c r="J222" s="5" t="s">
        <v>18</v>
      </c>
      <c r="K222" s="3">
        <v>60</v>
      </c>
      <c r="L222" s="11">
        <f>jewels[[#This Row],[Unit Price]]/(1+40%)</f>
        <v>3137065</v>
      </c>
      <c r="M222" s="11">
        <v>4391891</v>
      </c>
      <c r="N222" s="3">
        <v>2</v>
      </c>
      <c r="O222" s="11">
        <f>jewels[[#This Row],[Cost ]]*jewels[[#This Row],[Sales_Qty]]</f>
        <v>6274130</v>
      </c>
      <c r="P222" s="11">
        <v>8783782</v>
      </c>
      <c r="Q222" s="11">
        <f>jewels[[#This Row],[Total Sales Value]]-jewels[[#This Row],[Cost Per Unit]]</f>
        <v>2509652</v>
      </c>
      <c r="R222" s="13">
        <f>jewels[[#This Row],[Profit]]/jewels[[#This Row],[Cost Per Unit]]</f>
        <v>0.4</v>
      </c>
    </row>
    <row r="223" spans="1:18" x14ac:dyDescent="0.25">
      <c r="A223" s="3">
        <v>222</v>
      </c>
      <c r="B223" s="4">
        <v>45245</v>
      </c>
      <c r="C223" s="3">
        <v>2023</v>
      </c>
      <c r="D223" s="3">
        <v>11</v>
      </c>
      <c r="E223" s="5" t="s">
        <v>58</v>
      </c>
      <c r="F223" s="3">
        <v>494</v>
      </c>
      <c r="G223" s="5" t="s">
        <v>46</v>
      </c>
      <c r="H223" s="5" t="s">
        <v>35</v>
      </c>
      <c r="I223" s="5" t="s">
        <v>22</v>
      </c>
      <c r="J223" s="5" t="s">
        <v>45</v>
      </c>
      <c r="K223" s="3">
        <v>98</v>
      </c>
      <c r="L223" s="11">
        <f>jewels[[#This Row],[Unit Price]]/(1+40%)</f>
        <v>1581605.7142857143</v>
      </c>
      <c r="M223" s="11">
        <v>2214248</v>
      </c>
      <c r="N223" s="3">
        <v>3</v>
      </c>
      <c r="O223" s="11">
        <f>jewels[[#This Row],[Cost ]]*jewels[[#This Row],[Sales_Qty]]</f>
        <v>4744817.1428571427</v>
      </c>
      <c r="P223" s="11">
        <v>6642744</v>
      </c>
      <c r="Q223" s="11">
        <f>jewels[[#This Row],[Total Sales Value]]-jewels[[#This Row],[Cost Per Unit]]</f>
        <v>1897926.8571428573</v>
      </c>
      <c r="R223" s="13">
        <f>jewels[[#This Row],[Profit]]/jewels[[#This Row],[Cost Per Unit]]</f>
        <v>0.4</v>
      </c>
    </row>
    <row r="224" spans="1:18" x14ac:dyDescent="0.25">
      <c r="A224" s="3">
        <v>223</v>
      </c>
      <c r="B224" s="4">
        <v>44128</v>
      </c>
      <c r="C224" s="3">
        <v>2020</v>
      </c>
      <c r="D224" s="3">
        <v>10</v>
      </c>
      <c r="E224" s="5" t="s">
        <v>61</v>
      </c>
      <c r="F224" s="3">
        <v>160</v>
      </c>
      <c r="G224" s="5" t="s">
        <v>46</v>
      </c>
      <c r="H224" s="5" t="s">
        <v>35</v>
      </c>
      <c r="I224" s="5" t="s">
        <v>39</v>
      </c>
      <c r="J224" s="5" t="s">
        <v>47</v>
      </c>
      <c r="K224" s="3">
        <v>82</v>
      </c>
      <c r="L224" s="11">
        <f>jewels[[#This Row],[Unit Price]]/(1+40%)</f>
        <v>1435122.8571428573</v>
      </c>
      <c r="M224" s="11">
        <v>2009172</v>
      </c>
      <c r="N224" s="3">
        <v>5</v>
      </c>
      <c r="O224" s="11">
        <f>jewels[[#This Row],[Cost ]]*jewels[[#This Row],[Sales_Qty]]</f>
        <v>7175614.2857142864</v>
      </c>
      <c r="P224" s="11">
        <v>10045860</v>
      </c>
      <c r="Q224" s="11">
        <f>jewels[[#This Row],[Total Sales Value]]-jewels[[#This Row],[Cost Per Unit]]</f>
        <v>2870245.7142857136</v>
      </c>
      <c r="R224" s="13">
        <f>jewels[[#This Row],[Profit]]/jewels[[#This Row],[Cost Per Unit]]</f>
        <v>0.39999999999999986</v>
      </c>
    </row>
    <row r="225" spans="1:18" x14ac:dyDescent="0.25">
      <c r="A225" s="3">
        <v>224</v>
      </c>
      <c r="B225" s="4">
        <v>44728</v>
      </c>
      <c r="C225" s="3">
        <v>2022</v>
      </c>
      <c r="D225" s="3">
        <v>6</v>
      </c>
      <c r="E225" s="5" t="s">
        <v>14</v>
      </c>
      <c r="F225" s="3">
        <v>251</v>
      </c>
      <c r="G225" s="5" t="s">
        <v>15</v>
      </c>
      <c r="H225" s="5" t="s">
        <v>16</v>
      </c>
      <c r="I225" s="5" t="s">
        <v>40</v>
      </c>
      <c r="J225" s="5" t="s">
        <v>23</v>
      </c>
      <c r="K225" s="3">
        <v>95</v>
      </c>
      <c r="L225" s="11">
        <f>jewels[[#This Row],[Unit Price]]/(1+40%)</f>
        <v>3653464.2857142859</v>
      </c>
      <c r="M225" s="11">
        <v>5114850</v>
      </c>
      <c r="N225" s="3">
        <v>7</v>
      </c>
      <c r="O225" s="11">
        <f>jewels[[#This Row],[Cost ]]*jewels[[#This Row],[Sales_Qty]]</f>
        <v>25574250</v>
      </c>
      <c r="P225" s="11">
        <v>35803950</v>
      </c>
      <c r="Q225" s="11">
        <f>jewels[[#This Row],[Total Sales Value]]-jewels[[#This Row],[Cost Per Unit]]</f>
        <v>10229700</v>
      </c>
      <c r="R225" s="13">
        <f>jewels[[#This Row],[Profit]]/jewels[[#This Row],[Cost Per Unit]]</f>
        <v>0.4</v>
      </c>
    </row>
    <row r="226" spans="1:18" x14ac:dyDescent="0.25">
      <c r="A226" s="3">
        <v>225</v>
      </c>
      <c r="B226" s="4">
        <v>45143</v>
      </c>
      <c r="C226" s="3">
        <v>2023</v>
      </c>
      <c r="D226" s="3">
        <v>8</v>
      </c>
      <c r="E226" s="5" t="s">
        <v>51</v>
      </c>
      <c r="F226" s="3">
        <v>78</v>
      </c>
      <c r="G226" s="5" t="s">
        <v>64</v>
      </c>
      <c r="H226" s="5" t="s">
        <v>26</v>
      </c>
      <c r="I226" s="5" t="s">
        <v>40</v>
      </c>
      <c r="J226" s="5" t="s">
        <v>28</v>
      </c>
      <c r="K226" s="3">
        <v>83</v>
      </c>
      <c r="L226" s="11">
        <f>jewels[[#This Row],[Unit Price]]/(1+40%)</f>
        <v>2750307.8571428573</v>
      </c>
      <c r="M226" s="11">
        <v>3850431</v>
      </c>
      <c r="N226" s="3">
        <v>6</v>
      </c>
      <c r="O226" s="11">
        <f>jewels[[#This Row],[Cost ]]*jewels[[#This Row],[Sales_Qty]]</f>
        <v>16501847.142857144</v>
      </c>
      <c r="P226" s="11">
        <v>23102586</v>
      </c>
      <c r="Q226" s="11">
        <f>jewels[[#This Row],[Total Sales Value]]-jewels[[#This Row],[Cost Per Unit]]</f>
        <v>6600738.8571428563</v>
      </c>
      <c r="R226" s="13">
        <f>jewels[[#This Row],[Profit]]/jewels[[#This Row],[Cost Per Unit]]</f>
        <v>0.39999999999999991</v>
      </c>
    </row>
    <row r="227" spans="1:18" x14ac:dyDescent="0.25">
      <c r="A227" s="3">
        <v>226</v>
      </c>
      <c r="B227" s="4">
        <v>44353</v>
      </c>
      <c r="C227" s="3">
        <v>2021</v>
      </c>
      <c r="D227" s="3">
        <v>6</v>
      </c>
      <c r="E227" s="5" t="s">
        <v>14</v>
      </c>
      <c r="F227" s="3">
        <v>150</v>
      </c>
      <c r="G227" s="5" t="s">
        <v>25</v>
      </c>
      <c r="H227" s="5" t="s">
        <v>26</v>
      </c>
      <c r="I227" s="5" t="s">
        <v>39</v>
      </c>
      <c r="J227" s="5" t="s">
        <v>28</v>
      </c>
      <c r="K227" s="3">
        <v>91</v>
      </c>
      <c r="L227" s="11">
        <f>jewels[[#This Row],[Unit Price]]/(1+40%)</f>
        <v>1230404.2857142857</v>
      </c>
      <c r="M227" s="11">
        <v>1722566</v>
      </c>
      <c r="N227" s="3">
        <v>3</v>
      </c>
      <c r="O227" s="11">
        <f>jewels[[#This Row],[Cost ]]*jewels[[#This Row],[Sales_Qty]]</f>
        <v>3691212.8571428573</v>
      </c>
      <c r="P227" s="11">
        <v>5167698</v>
      </c>
      <c r="Q227" s="11">
        <f>jewels[[#This Row],[Total Sales Value]]-jewels[[#This Row],[Cost Per Unit]]</f>
        <v>1476485.1428571427</v>
      </c>
      <c r="R227" s="13">
        <f>jewels[[#This Row],[Profit]]/jewels[[#This Row],[Cost Per Unit]]</f>
        <v>0.39999999999999997</v>
      </c>
    </row>
    <row r="228" spans="1:18" x14ac:dyDescent="0.25">
      <c r="A228" s="3">
        <v>227</v>
      </c>
      <c r="B228" s="4">
        <v>45043</v>
      </c>
      <c r="C228" s="3">
        <v>2023</v>
      </c>
      <c r="D228" s="3">
        <v>4</v>
      </c>
      <c r="E228" s="5" t="s">
        <v>24</v>
      </c>
      <c r="F228" s="3">
        <v>262</v>
      </c>
      <c r="G228" s="5" t="s">
        <v>46</v>
      </c>
      <c r="H228" s="5" t="s">
        <v>35</v>
      </c>
      <c r="I228" s="5" t="s">
        <v>27</v>
      </c>
      <c r="J228" s="5" t="s">
        <v>45</v>
      </c>
      <c r="K228" s="3">
        <v>68</v>
      </c>
      <c r="L228" s="11">
        <f>jewels[[#This Row],[Unit Price]]/(1+40%)</f>
        <v>2986361.4285714286</v>
      </c>
      <c r="M228" s="11">
        <v>4180906</v>
      </c>
      <c r="N228" s="3">
        <v>1</v>
      </c>
      <c r="O228" s="11">
        <f>jewels[[#This Row],[Cost ]]*jewels[[#This Row],[Sales_Qty]]</f>
        <v>2986361.4285714286</v>
      </c>
      <c r="P228" s="11">
        <v>4180906</v>
      </c>
      <c r="Q228" s="11">
        <f>jewels[[#This Row],[Total Sales Value]]-jewels[[#This Row],[Cost Per Unit]]</f>
        <v>1194544.5714285714</v>
      </c>
      <c r="R228" s="13">
        <f>jewels[[#This Row],[Profit]]/jewels[[#This Row],[Cost Per Unit]]</f>
        <v>0.39999999999999997</v>
      </c>
    </row>
    <row r="229" spans="1:18" x14ac:dyDescent="0.25">
      <c r="A229" s="3">
        <v>228</v>
      </c>
      <c r="B229" s="4">
        <v>44826</v>
      </c>
      <c r="C229" s="3">
        <v>2022</v>
      </c>
      <c r="D229" s="3">
        <v>9</v>
      </c>
      <c r="E229" s="5" t="s">
        <v>33</v>
      </c>
      <c r="F229" s="3">
        <v>241</v>
      </c>
      <c r="G229" s="5" t="s">
        <v>60</v>
      </c>
      <c r="H229" s="5" t="s">
        <v>16</v>
      </c>
      <c r="I229" s="5" t="s">
        <v>29</v>
      </c>
      <c r="J229" s="5" t="s">
        <v>28</v>
      </c>
      <c r="K229" s="3">
        <v>52</v>
      </c>
      <c r="L229" s="11">
        <f>jewels[[#This Row],[Unit Price]]/(1+40%)</f>
        <v>1120985</v>
      </c>
      <c r="M229" s="11">
        <v>1569379</v>
      </c>
      <c r="N229" s="3">
        <v>6</v>
      </c>
      <c r="O229" s="11">
        <f>jewels[[#This Row],[Cost ]]*jewels[[#This Row],[Sales_Qty]]</f>
        <v>6725910</v>
      </c>
      <c r="P229" s="11">
        <v>9416274</v>
      </c>
      <c r="Q229" s="11">
        <f>jewels[[#This Row],[Total Sales Value]]-jewels[[#This Row],[Cost Per Unit]]</f>
        <v>2690364</v>
      </c>
      <c r="R229" s="13">
        <f>jewels[[#This Row],[Profit]]/jewels[[#This Row],[Cost Per Unit]]</f>
        <v>0.4</v>
      </c>
    </row>
    <row r="230" spans="1:18" x14ac:dyDescent="0.25">
      <c r="A230" s="3">
        <v>229</v>
      </c>
      <c r="B230" s="4">
        <v>45262</v>
      </c>
      <c r="C230" s="3">
        <v>2023</v>
      </c>
      <c r="D230" s="3">
        <v>12</v>
      </c>
      <c r="E230" s="5" t="s">
        <v>37</v>
      </c>
      <c r="F230" s="3">
        <v>126</v>
      </c>
      <c r="G230" s="5" t="s">
        <v>59</v>
      </c>
      <c r="H230" s="5" t="s">
        <v>56</v>
      </c>
      <c r="I230" s="5" t="s">
        <v>40</v>
      </c>
      <c r="J230" s="5" t="s">
        <v>45</v>
      </c>
      <c r="K230" s="3">
        <v>69</v>
      </c>
      <c r="L230" s="11">
        <f>jewels[[#This Row],[Unit Price]]/(1+40%)</f>
        <v>6098362.1428571437</v>
      </c>
      <c r="M230" s="11">
        <v>8537707</v>
      </c>
      <c r="N230" s="3">
        <v>7</v>
      </c>
      <c r="O230" s="11">
        <f>jewels[[#This Row],[Cost ]]*jewels[[#This Row],[Sales_Qty]]</f>
        <v>42688535.000000007</v>
      </c>
      <c r="P230" s="11">
        <v>59763949</v>
      </c>
      <c r="Q230" s="11">
        <f>jewels[[#This Row],[Total Sales Value]]-jewels[[#This Row],[Cost Per Unit]]</f>
        <v>17075413.999999993</v>
      </c>
      <c r="R230" s="13">
        <f>jewels[[#This Row],[Profit]]/jewels[[#This Row],[Cost Per Unit]]</f>
        <v>0.39999999999999974</v>
      </c>
    </row>
    <row r="231" spans="1:18" x14ac:dyDescent="0.25">
      <c r="A231" s="3">
        <v>230</v>
      </c>
      <c r="B231" s="4">
        <v>43954</v>
      </c>
      <c r="C231" s="3">
        <v>2020</v>
      </c>
      <c r="D231" s="3">
        <v>5</v>
      </c>
      <c r="E231" s="5" t="s">
        <v>53</v>
      </c>
      <c r="F231" s="3">
        <v>109</v>
      </c>
      <c r="G231" s="5" t="s">
        <v>64</v>
      </c>
      <c r="H231" s="5" t="s">
        <v>26</v>
      </c>
      <c r="I231" s="5" t="s">
        <v>40</v>
      </c>
      <c r="J231" s="5" t="s">
        <v>47</v>
      </c>
      <c r="K231" s="3">
        <v>100</v>
      </c>
      <c r="L231" s="11">
        <f>jewels[[#This Row],[Unit Price]]/(1+40%)</f>
        <v>3197678.5714285718</v>
      </c>
      <c r="M231" s="11">
        <v>4476750</v>
      </c>
      <c r="N231" s="3">
        <v>2</v>
      </c>
      <c r="O231" s="11">
        <f>jewels[[#This Row],[Cost ]]*jewels[[#This Row],[Sales_Qty]]</f>
        <v>6395357.1428571437</v>
      </c>
      <c r="P231" s="11">
        <v>8953500</v>
      </c>
      <c r="Q231" s="11">
        <f>jewels[[#This Row],[Total Sales Value]]-jewels[[#This Row],[Cost Per Unit]]</f>
        <v>2558142.8571428563</v>
      </c>
      <c r="R231" s="13">
        <f>jewels[[#This Row],[Profit]]/jewels[[#This Row],[Cost Per Unit]]</f>
        <v>0.3999999999999998</v>
      </c>
    </row>
    <row r="232" spans="1:18" x14ac:dyDescent="0.25">
      <c r="A232" s="3">
        <v>231</v>
      </c>
      <c r="B232" s="4">
        <v>44758</v>
      </c>
      <c r="C232" s="3">
        <v>2022</v>
      </c>
      <c r="D232" s="3">
        <v>7</v>
      </c>
      <c r="E232" s="5" t="s">
        <v>49</v>
      </c>
      <c r="F232" s="3">
        <v>470</v>
      </c>
      <c r="G232" s="5" t="s">
        <v>34</v>
      </c>
      <c r="H232" s="5" t="s">
        <v>35</v>
      </c>
      <c r="I232" s="5" t="s">
        <v>22</v>
      </c>
      <c r="J232" s="5" t="s">
        <v>18</v>
      </c>
      <c r="K232" s="3">
        <v>54</v>
      </c>
      <c r="L232" s="11">
        <f>jewels[[#This Row],[Unit Price]]/(1+40%)</f>
        <v>5204388.5714285718</v>
      </c>
      <c r="M232" s="11">
        <v>7286144</v>
      </c>
      <c r="N232" s="3">
        <v>5</v>
      </c>
      <c r="O232" s="11">
        <f>jewels[[#This Row],[Cost ]]*jewels[[#This Row],[Sales_Qty]]</f>
        <v>26021942.857142858</v>
      </c>
      <c r="P232" s="11">
        <v>36430720</v>
      </c>
      <c r="Q232" s="11">
        <f>jewels[[#This Row],[Total Sales Value]]-jewels[[#This Row],[Cost Per Unit]]</f>
        <v>10408777.142857142</v>
      </c>
      <c r="R232" s="13">
        <f>jewels[[#This Row],[Profit]]/jewels[[#This Row],[Cost Per Unit]]</f>
        <v>0.39999999999999997</v>
      </c>
    </row>
    <row r="233" spans="1:18" x14ac:dyDescent="0.25">
      <c r="A233" s="3">
        <v>232</v>
      </c>
      <c r="B233" s="4">
        <v>44249</v>
      </c>
      <c r="C233" s="3">
        <v>2021</v>
      </c>
      <c r="D233" s="3">
        <v>2</v>
      </c>
      <c r="E233" s="5" t="s">
        <v>19</v>
      </c>
      <c r="F233" s="3">
        <v>431</v>
      </c>
      <c r="G233" s="5" t="s">
        <v>15</v>
      </c>
      <c r="H233" s="5" t="s">
        <v>16</v>
      </c>
      <c r="I233" s="5" t="s">
        <v>40</v>
      </c>
      <c r="J233" s="5" t="s">
        <v>44</v>
      </c>
      <c r="K233" s="3">
        <v>88</v>
      </c>
      <c r="L233" s="11">
        <f>jewels[[#This Row],[Unit Price]]/(1+40%)</f>
        <v>1314581.4285714286</v>
      </c>
      <c r="M233" s="11">
        <v>1840414</v>
      </c>
      <c r="N233" s="3">
        <v>2</v>
      </c>
      <c r="O233" s="11">
        <f>jewels[[#This Row],[Cost ]]*jewels[[#This Row],[Sales_Qty]]</f>
        <v>2629162.8571428573</v>
      </c>
      <c r="P233" s="11">
        <v>3680828</v>
      </c>
      <c r="Q233" s="11">
        <f>jewels[[#This Row],[Total Sales Value]]-jewels[[#This Row],[Cost Per Unit]]</f>
        <v>1051665.1428571427</v>
      </c>
      <c r="R233" s="13">
        <f>jewels[[#This Row],[Profit]]/jewels[[#This Row],[Cost Per Unit]]</f>
        <v>0.39999999999999991</v>
      </c>
    </row>
    <row r="234" spans="1:18" x14ac:dyDescent="0.25">
      <c r="A234" s="3">
        <v>233</v>
      </c>
      <c r="B234" s="4">
        <v>44077</v>
      </c>
      <c r="C234" s="3">
        <v>2020</v>
      </c>
      <c r="D234" s="3">
        <v>9</v>
      </c>
      <c r="E234" s="5" t="s">
        <v>33</v>
      </c>
      <c r="F234" s="3">
        <v>329</v>
      </c>
      <c r="G234" s="5" t="s">
        <v>46</v>
      </c>
      <c r="H234" s="5" t="s">
        <v>35</v>
      </c>
      <c r="I234" s="5" t="s">
        <v>39</v>
      </c>
      <c r="J234" s="5" t="s">
        <v>18</v>
      </c>
      <c r="K234" s="3">
        <v>61</v>
      </c>
      <c r="L234" s="11">
        <f>jewels[[#This Row],[Unit Price]]/(1+40%)</f>
        <v>2119262.1428571432</v>
      </c>
      <c r="M234" s="11">
        <v>2966967</v>
      </c>
      <c r="N234" s="3">
        <v>9</v>
      </c>
      <c r="O234" s="11">
        <f>jewels[[#This Row],[Cost ]]*jewels[[#This Row],[Sales_Qty]]</f>
        <v>19073359.285714287</v>
      </c>
      <c r="P234" s="11">
        <v>26702703</v>
      </c>
      <c r="Q234" s="11">
        <f>jewels[[#This Row],[Total Sales Value]]-jewels[[#This Row],[Cost Per Unit]]</f>
        <v>7629343.7142857127</v>
      </c>
      <c r="R234" s="13">
        <f>jewels[[#This Row],[Profit]]/jewels[[#This Row],[Cost Per Unit]]</f>
        <v>0.39999999999999986</v>
      </c>
    </row>
    <row r="235" spans="1:18" x14ac:dyDescent="0.25">
      <c r="A235" s="3">
        <v>234</v>
      </c>
      <c r="B235" s="4">
        <v>44664</v>
      </c>
      <c r="C235" s="3">
        <v>2022</v>
      </c>
      <c r="D235" s="3">
        <v>4</v>
      </c>
      <c r="E235" s="5" t="s">
        <v>24</v>
      </c>
      <c r="F235" s="3">
        <v>180</v>
      </c>
      <c r="G235" s="5" t="s">
        <v>34</v>
      </c>
      <c r="H235" s="5" t="s">
        <v>35</v>
      </c>
      <c r="I235" s="5" t="s">
        <v>40</v>
      </c>
      <c r="J235" s="5" t="s">
        <v>32</v>
      </c>
      <c r="K235" s="3">
        <v>86</v>
      </c>
      <c r="L235" s="11">
        <f>jewels[[#This Row],[Unit Price]]/(1+40%)</f>
        <v>3935176.4285714286</v>
      </c>
      <c r="M235" s="11">
        <v>5509247</v>
      </c>
      <c r="N235" s="3">
        <v>2</v>
      </c>
      <c r="O235" s="11">
        <f>jewels[[#This Row],[Cost ]]*jewels[[#This Row],[Sales_Qty]]</f>
        <v>7870352.8571428573</v>
      </c>
      <c r="P235" s="11">
        <v>11018494</v>
      </c>
      <c r="Q235" s="11">
        <f>jewels[[#This Row],[Total Sales Value]]-jewels[[#This Row],[Cost Per Unit]]</f>
        <v>3148141.1428571427</v>
      </c>
      <c r="R235" s="13">
        <f>jewels[[#This Row],[Profit]]/jewels[[#This Row],[Cost Per Unit]]</f>
        <v>0.39999999999999997</v>
      </c>
    </row>
    <row r="236" spans="1:18" x14ac:dyDescent="0.25">
      <c r="A236" s="3">
        <v>235</v>
      </c>
      <c r="B236" s="4">
        <v>45124</v>
      </c>
      <c r="C236" s="3">
        <v>2023</v>
      </c>
      <c r="D236" s="3">
        <v>7</v>
      </c>
      <c r="E236" s="5" t="s">
        <v>49</v>
      </c>
      <c r="F236" s="3">
        <v>126</v>
      </c>
      <c r="G236" s="5" t="s">
        <v>15</v>
      </c>
      <c r="H236" s="5" t="s">
        <v>16</v>
      </c>
      <c r="I236" s="5" t="s">
        <v>29</v>
      </c>
      <c r="J236" s="5" t="s">
        <v>45</v>
      </c>
      <c r="K236" s="3">
        <v>74</v>
      </c>
      <c r="L236" s="11">
        <f>jewels[[#This Row],[Unit Price]]/(1+40%)</f>
        <v>4800015</v>
      </c>
      <c r="M236" s="11">
        <v>6720021</v>
      </c>
      <c r="N236" s="3">
        <v>2</v>
      </c>
      <c r="O236" s="11">
        <f>jewels[[#This Row],[Cost ]]*jewels[[#This Row],[Sales_Qty]]</f>
        <v>9600030</v>
      </c>
      <c r="P236" s="11">
        <v>13440042</v>
      </c>
      <c r="Q236" s="11">
        <f>jewels[[#This Row],[Total Sales Value]]-jewels[[#This Row],[Cost Per Unit]]</f>
        <v>3840012</v>
      </c>
      <c r="R236" s="13">
        <f>jewels[[#This Row],[Profit]]/jewels[[#This Row],[Cost Per Unit]]</f>
        <v>0.4</v>
      </c>
    </row>
    <row r="237" spans="1:18" x14ac:dyDescent="0.25">
      <c r="A237" s="3">
        <v>236</v>
      </c>
      <c r="B237" s="4">
        <v>44440</v>
      </c>
      <c r="C237" s="3">
        <v>2021</v>
      </c>
      <c r="D237" s="3">
        <v>9</v>
      </c>
      <c r="E237" s="5" t="s">
        <v>33</v>
      </c>
      <c r="F237" s="3">
        <v>96</v>
      </c>
      <c r="G237" s="5" t="s">
        <v>20</v>
      </c>
      <c r="H237" s="5" t="s">
        <v>21</v>
      </c>
      <c r="I237" s="5" t="s">
        <v>29</v>
      </c>
      <c r="J237" s="5" t="s">
        <v>30</v>
      </c>
      <c r="K237" s="3">
        <v>79</v>
      </c>
      <c r="L237" s="11">
        <f>jewels[[#This Row],[Unit Price]]/(1+40%)</f>
        <v>5594392.1428571437</v>
      </c>
      <c r="M237" s="11">
        <v>7832149</v>
      </c>
      <c r="N237" s="3">
        <v>8</v>
      </c>
      <c r="O237" s="11">
        <f>jewels[[#This Row],[Cost ]]*jewels[[#This Row],[Sales_Qty]]</f>
        <v>44755137.142857149</v>
      </c>
      <c r="P237" s="11">
        <v>62657192</v>
      </c>
      <c r="Q237" s="11">
        <f>jewels[[#This Row],[Total Sales Value]]-jewels[[#This Row],[Cost Per Unit]]</f>
        <v>17902054.857142851</v>
      </c>
      <c r="R237" s="13">
        <f>jewels[[#This Row],[Profit]]/jewels[[#This Row],[Cost Per Unit]]</f>
        <v>0.3999999999999998</v>
      </c>
    </row>
    <row r="238" spans="1:18" x14ac:dyDescent="0.25">
      <c r="A238" s="3">
        <v>237</v>
      </c>
      <c r="B238" s="4">
        <v>44420</v>
      </c>
      <c r="C238" s="3">
        <v>2021</v>
      </c>
      <c r="D238" s="3">
        <v>8</v>
      </c>
      <c r="E238" s="5" t="s">
        <v>51</v>
      </c>
      <c r="F238" s="3">
        <v>357</v>
      </c>
      <c r="G238" s="5" t="s">
        <v>25</v>
      </c>
      <c r="H238" s="5" t="s">
        <v>26</v>
      </c>
      <c r="I238" s="5" t="s">
        <v>39</v>
      </c>
      <c r="J238" s="5" t="s">
        <v>18</v>
      </c>
      <c r="K238" s="3">
        <v>83</v>
      </c>
      <c r="L238" s="11">
        <f>jewels[[#This Row],[Unit Price]]/(1+40%)</f>
        <v>7013047.1428571437</v>
      </c>
      <c r="M238" s="11">
        <v>9818266</v>
      </c>
      <c r="N238" s="3">
        <v>10</v>
      </c>
      <c r="O238" s="11">
        <f>jewels[[#This Row],[Cost ]]*jewels[[#This Row],[Sales_Qty]]</f>
        <v>70130471.428571433</v>
      </c>
      <c r="P238" s="11">
        <v>98182660</v>
      </c>
      <c r="Q238" s="11">
        <f>jewels[[#This Row],[Total Sales Value]]-jewels[[#This Row],[Cost Per Unit]]</f>
        <v>28052188.571428567</v>
      </c>
      <c r="R238" s="13">
        <f>jewels[[#This Row],[Profit]]/jewels[[#This Row],[Cost Per Unit]]</f>
        <v>0.39999999999999991</v>
      </c>
    </row>
    <row r="239" spans="1:18" x14ac:dyDescent="0.25">
      <c r="A239" s="3">
        <v>238</v>
      </c>
      <c r="B239" s="4">
        <v>44577</v>
      </c>
      <c r="C239" s="3">
        <v>2022</v>
      </c>
      <c r="D239" s="3">
        <v>1</v>
      </c>
      <c r="E239" s="5" t="s">
        <v>41</v>
      </c>
      <c r="F239" s="3">
        <v>30</v>
      </c>
      <c r="G239" s="5" t="s">
        <v>46</v>
      </c>
      <c r="H239" s="5" t="s">
        <v>35</v>
      </c>
      <c r="I239" s="5" t="s">
        <v>17</v>
      </c>
      <c r="J239" s="5" t="s">
        <v>45</v>
      </c>
      <c r="K239" s="3">
        <v>97</v>
      </c>
      <c r="L239" s="11">
        <f>jewels[[#This Row],[Unit Price]]/(1+40%)</f>
        <v>1504619.2857142859</v>
      </c>
      <c r="M239" s="11">
        <v>2106467</v>
      </c>
      <c r="N239" s="3">
        <v>3</v>
      </c>
      <c r="O239" s="11">
        <f>jewels[[#This Row],[Cost ]]*jewels[[#This Row],[Sales_Qty]]</f>
        <v>4513857.8571428582</v>
      </c>
      <c r="P239" s="11">
        <v>6319401</v>
      </c>
      <c r="Q239" s="11">
        <f>jewels[[#This Row],[Total Sales Value]]-jewels[[#This Row],[Cost Per Unit]]</f>
        <v>1805543.1428571418</v>
      </c>
      <c r="R239" s="13">
        <f>jewels[[#This Row],[Profit]]/jewels[[#This Row],[Cost Per Unit]]</f>
        <v>0.39999999999999969</v>
      </c>
    </row>
    <row r="240" spans="1:18" x14ac:dyDescent="0.25">
      <c r="A240" s="3">
        <v>239</v>
      </c>
      <c r="B240" s="4">
        <v>44112</v>
      </c>
      <c r="C240" s="3">
        <v>2020</v>
      </c>
      <c r="D240" s="3">
        <v>10</v>
      </c>
      <c r="E240" s="5" t="s">
        <v>61</v>
      </c>
      <c r="F240" s="3">
        <v>388</v>
      </c>
      <c r="G240" s="5" t="s">
        <v>64</v>
      </c>
      <c r="H240" s="5" t="s">
        <v>26</v>
      </c>
      <c r="I240" s="5" t="s">
        <v>39</v>
      </c>
      <c r="J240" s="5" t="s">
        <v>30</v>
      </c>
      <c r="K240" s="3">
        <v>69</v>
      </c>
      <c r="L240" s="11">
        <f>jewels[[#This Row],[Unit Price]]/(1+40%)</f>
        <v>7109447.1428571437</v>
      </c>
      <c r="M240" s="11">
        <v>9953226</v>
      </c>
      <c r="N240" s="3">
        <v>4</v>
      </c>
      <c r="O240" s="11">
        <f>jewels[[#This Row],[Cost ]]*jewels[[#This Row],[Sales_Qty]]</f>
        <v>28437788.571428575</v>
      </c>
      <c r="P240" s="11">
        <v>39812904</v>
      </c>
      <c r="Q240" s="11">
        <f>jewels[[#This Row],[Total Sales Value]]-jewels[[#This Row],[Cost Per Unit]]</f>
        <v>11375115.428571425</v>
      </c>
      <c r="R240" s="13">
        <f>jewels[[#This Row],[Profit]]/jewels[[#This Row],[Cost Per Unit]]</f>
        <v>0.39999999999999986</v>
      </c>
    </row>
    <row r="241" spans="1:18" x14ac:dyDescent="0.25">
      <c r="A241" s="3">
        <v>240</v>
      </c>
      <c r="B241" s="4">
        <v>44236</v>
      </c>
      <c r="C241" s="3">
        <v>2021</v>
      </c>
      <c r="D241" s="3">
        <v>2</v>
      </c>
      <c r="E241" s="5" t="s">
        <v>19</v>
      </c>
      <c r="F241" s="3">
        <v>409</v>
      </c>
      <c r="G241" s="5" t="s">
        <v>60</v>
      </c>
      <c r="H241" s="5" t="s">
        <v>16</v>
      </c>
      <c r="I241" s="5" t="s">
        <v>40</v>
      </c>
      <c r="J241" s="5" t="s">
        <v>30</v>
      </c>
      <c r="K241" s="3">
        <v>63</v>
      </c>
      <c r="L241" s="11">
        <f>jewels[[#This Row],[Unit Price]]/(1+40%)</f>
        <v>3969077.8571428573</v>
      </c>
      <c r="M241" s="11">
        <v>5556709</v>
      </c>
      <c r="N241" s="3">
        <v>6</v>
      </c>
      <c r="O241" s="11">
        <f>jewels[[#This Row],[Cost ]]*jewels[[#This Row],[Sales_Qty]]</f>
        <v>23814467.142857142</v>
      </c>
      <c r="P241" s="11">
        <v>33340254</v>
      </c>
      <c r="Q241" s="11">
        <f>jewels[[#This Row],[Total Sales Value]]-jewels[[#This Row],[Cost Per Unit]]</f>
        <v>9525786.8571428582</v>
      </c>
      <c r="R241" s="13">
        <f>jewels[[#This Row],[Profit]]/jewels[[#This Row],[Cost Per Unit]]</f>
        <v>0.40000000000000008</v>
      </c>
    </row>
    <row r="242" spans="1:18" x14ac:dyDescent="0.25">
      <c r="A242" s="3">
        <v>241</v>
      </c>
      <c r="B242" s="4">
        <v>44936</v>
      </c>
      <c r="C242" s="3">
        <v>2023</v>
      </c>
      <c r="D242" s="3">
        <v>1</v>
      </c>
      <c r="E242" s="5" t="s">
        <v>41</v>
      </c>
      <c r="F242" s="3">
        <v>398</v>
      </c>
      <c r="G242" s="5" t="s">
        <v>36</v>
      </c>
      <c r="H242" s="5" t="s">
        <v>16</v>
      </c>
      <c r="I242" s="5" t="s">
        <v>27</v>
      </c>
      <c r="J242" s="5" t="s">
        <v>44</v>
      </c>
      <c r="K242" s="3">
        <v>98</v>
      </c>
      <c r="L242" s="11">
        <f>jewels[[#This Row],[Unit Price]]/(1+40%)</f>
        <v>3416886.4285714286</v>
      </c>
      <c r="M242" s="11">
        <v>4783641</v>
      </c>
      <c r="N242" s="3">
        <v>3</v>
      </c>
      <c r="O242" s="11">
        <f>jewels[[#This Row],[Cost ]]*jewels[[#This Row],[Sales_Qty]]</f>
        <v>10250659.285714285</v>
      </c>
      <c r="P242" s="11">
        <v>14350923</v>
      </c>
      <c r="Q242" s="11">
        <f>jewels[[#This Row],[Total Sales Value]]-jewels[[#This Row],[Cost Per Unit]]</f>
        <v>4100263.7142857146</v>
      </c>
      <c r="R242" s="13">
        <f>jewels[[#This Row],[Profit]]/jewels[[#This Row],[Cost Per Unit]]</f>
        <v>0.4</v>
      </c>
    </row>
    <row r="243" spans="1:18" x14ac:dyDescent="0.25">
      <c r="A243" s="3">
        <v>242</v>
      </c>
      <c r="B243" s="4">
        <v>45114</v>
      </c>
      <c r="C243" s="3">
        <v>2023</v>
      </c>
      <c r="D243" s="3">
        <v>7</v>
      </c>
      <c r="E243" s="5" t="s">
        <v>49</v>
      </c>
      <c r="F243" s="3">
        <v>226</v>
      </c>
      <c r="G243" s="5" t="s">
        <v>34</v>
      </c>
      <c r="H243" s="5" t="s">
        <v>35</v>
      </c>
      <c r="I243" s="5" t="s">
        <v>29</v>
      </c>
      <c r="J243" s="5" t="s">
        <v>47</v>
      </c>
      <c r="K243" s="3">
        <v>55</v>
      </c>
      <c r="L243" s="11">
        <f>jewels[[#This Row],[Unit Price]]/(1+40%)</f>
        <v>5191959.2857142864</v>
      </c>
      <c r="M243" s="11">
        <v>7268743</v>
      </c>
      <c r="N243" s="3">
        <v>2</v>
      </c>
      <c r="O243" s="11">
        <f>jewels[[#This Row],[Cost ]]*jewels[[#This Row],[Sales_Qty]]</f>
        <v>10383918.571428573</v>
      </c>
      <c r="P243" s="11">
        <v>14537486</v>
      </c>
      <c r="Q243" s="11">
        <f>jewels[[#This Row],[Total Sales Value]]-jewels[[#This Row],[Cost Per Unit]]</f>
        <v>4153567.4285714272</v>
      </c>
      <c r="R243" s="13">
        <f>jewels[[#This Row],[Profit]]/jewels[[#This Row],[Cost Per Unit]]</f>
        <v>0.3999999999999998</v>
      </c>
    </row>
    <row r="244" spans="1:18" x14ac:dyDescent="0.25">
      <c r="A244" s="3">
        <v>243</v>
      </c>
      <c r="B244" s="4">
        <v>45294</v>
      </c>
      <c r="C244" s="3">
        <v>2024</v>
      </c>
      <c r="D244" s="3">
        <v>1</v>
      </c>
      <c r="E244" s="5" t="s">
        <v>41</v>
      </c>
      <c r="F244" s="3">
        <v>81</v>
      </c>
      <c r="G244" s="5" t="s">
        <v>55</v>
      </c>
      <c r="H244" s="5" t="s">
        <v>56</v>
      </c>
      <c r="I244" s="5" t="s">
        <v>39</v>
      </c>
      <c r="J244" s="5" t="s">
        <v>50</v>
      </c>
      <c r="K244" s="3">
        <v>87</v>
      </c>
      <c r="L244" s="11">
        <f>jewels[[#This Row],[Unit Price]]/(1+40%)</f>
        <v>5353563.5714285718</v>
      </c>
      <c r="M244" s="11">
        <v>7494989</v>
      </c>
      <c r="N244" s="3">
        <v>6</v>
      </c>
      <c r="O244" s="11">
        <f>jewels[[#This Row],[Cost ]]*jewels[[#This Row],[Sales_Qty]]</f>
        <v>32121381.428571433</v>
      </c>
      <c r="P244" s="11">
        <v>44969934</v>
      </c>
      <c r="Q244" s="11">
        <f>jewels[[#This Row],[Total Sales Value]]-jewels[[#This Row],[Cost Per Unit]]</f>
        <v>12848552.571428567</v>
      </c>
      <c r="R244" s="13">
        <f>jewels[[#This Row],[Profit]]/jewels[[#This Row],[Cost Per Unit]]</f>
        <v>0.3999999999999998</v>
      </c>
    </row>
    <row r="245" spans="1:18" x14ac:dyDescent="0.25">
      <c r="A245" s="3">
        <v>244</v>
      </c>
      <c r="B245" s="4">
        <v>44958</v>
      </c>
      <c r="C245" s="3">
        <v>2023</v>
      </c>
      <c r="D245" s="3">
        <v>2</v>
      </c>
      <c r="E245" s="5" t="s">
        <v>19</v>
      </c>
      <c r="F245" s="3">
        <v>7</v>
      </c>
      <c r="G245" s="5" t="s">
        <v>34</v>
      </c>
      <c r="H245" s="5" t="s">
        <v>35</v>
      </c>
      <c r="I245" s="5" t="s">
        <v>22</v>
      </c>
      <c r="J245" s="5" t="s">
        <v>45</v>
      </c>
      <c r="K245" s="3">
        <v>64</v>
      </c>
      <c r="L245" s="11">
        <f>jewels[[#This Row],[Unit Price]]/(1+40%)</f>
        <v>4016253.5714285718</v>
      </c>
      <c r="M245" s="11">
        <v>5622755</v>
      </c>
      <c r="N245" s="3">
        <v>3</v>
      </c>
      <c r="O245" s="11">
        <f>jewels[[#This Row],[Cost ]]*jewels[[#This Row],[Sales_Qty]]</f>
        <v>12048760.714285716</v>
      </c>
      <c r="P245" s="11">
        <v>16868265</v>
      </c>
      <c r="Q245" s="11">
        <f>jewels[[#This Row],[Total Sales Value]]-jewels[[#This Row],[Cost Per Unit]]</f>
        <v>4819504.2857142836</v>
      </c>
      <c r="R245" s="13">
        <f>jewels[[#This Row],[Profit]]/jewels[[#This Row],[Cost Per Unit]]</f>
        <v>0.39999999999999974</v>
      </c>
    </row>
    <row r="246" spans="1:18" x14ac:dyDescent="0.25">
      <c r="A246" s="3">
        <v>245</v>
      </c>
      <c r="B246" s="4">
        <v>44236</v>
      </c>
      <c r="C246" s="3">
        <v>2021</v>
      </c>
      <c r="D246" s="3">
        <v>2</v>
      </c>
      <c r="E246" s="5" t="s">
        <v>19</v>
      </c>
      <c r="F246" s="3">
        <v>125</v>
      </c>
      <c r="G246" s="5" t="s">
        <v>46</v>
      </c>
      <c r="H246" s="5" t="s">
        <v>35</v>
      </c>
      <c r="I246" s="5" t="s">
        <v>17</v>
      </c>
      <c r="J246" s="5" t="s">
        <v>23</v>
      </c>
      <c r="K246" s="3">
        <v>78</v>
      </c>
      <c r="L246" s="11">
        <f>jewels[[#This Row],[Unit Price]]/(1+40%)</f>
        <v>2934805</v>
      </c>
      <c r="M246" s="11">
        <v>4108727</v>
      </c>
      <c r="N246" s="3">
        <v>8</v>
      </c>
      <c r="O246" s="11">
        <f>jewels[[#This Row],[Cost ]]*jewels[[#This Row],[Sales_Qty]]</f>
        <v>23478440</v>
      </c>
      <c r="P246" s="11">
        <v>32869816</v>
      </c>
      <c r="Q246" s="11">
        <f>jewels[[#This Row],[Total Sales Value]]-jewels[[#This Row],[Cost Per Unit]]</f>
        <v>9391376</v>
      </c>
      <c r="R246" s="13">
        <f>jewels[[#This Row],[Profit]]/jewels[[#This Row],[Cost Per Unit]]</f>
        <v>0.4</v>
      </c>
    </row>
    <row r="247" spans="1:18" x14ac:dyDescent="0.25">
      <c r="A247" s="3">
        <v>246</v>
      </c>
      <c r="B247" s="4">
        <v>45052</v>
      </c>
      <c r="C247" s="3">
        <v>2023</v>
      </c>
      <c r="D247" s="3">
        <v>5</v>
      </c>
      <c r="E247" s="5" t="s">
        <v>53</v>
      </c>
      <c r="F247" s="3">
        <v>443</v>
      </c>
      <c r="G247" s="5" t="s">
        <v>15</v>
      </c>
      <c r="H247" s="5" t="s">
        <v>16</v>
      </c>
      <c r="I247" s="5" t="s">
        <v>40</v>
      </c>
      <c r="J247" s="5" t="s">
        <v>28</v>
      </c>
      <c r="K247" s="3">
        <v>51</v>
      </c>
      <c r="L247" s="11">
        <f>jewels[[#This Row],[Unit Price]]/(1+40%)</f>
        <v>2807110.7142857146</v>
      </c>
      <c r="M247" s="11">
        <v>3929955</v>
      </c>
      <c r="N247" s="3">
        <v>4</v>
      </c>
      <c r="O247" s="11">
        <f>jewels[[#This Row],[Cost ]]*jewels[[#This Row],[Sales_Qty]]</f>
        <v>11228442.857142858</v>
      </c>
      <c r="P247" s="11">
        <v>15719820</v>
      </c>
      <c r="Q247" s="11">
        <f>jewels[[#This Row],[Total Sales Value]]-jewels[[#This Row],[Cost Per Unit]]</f>
        <v>4491377.1428571418</v>
      </c>
      <c r="R247" s="13">
        <f>jewels[[#This Row],[Profit]]/jewels[[#This Row],[Cost Per Unit]]</f>
        <v>0.39999999999999986</v>
      </c>
    </row>
    <row r="248" spans="1:18" x14ac:dyDescent="0.25">
      <c r="A248" s="3">
        <v>247</v>
      </c>
      <c r="B248" s="4">
        <v>44030</v>
      </c>
      <c r="C248" s="3">
        <v>2020</v>
      </c>
      <c r="D248" s="3">
        <v>7</v>
      </c>
      <c r="E248" s="5" t="s">
        <v>49</v>
      </c>
      <c r="F248" s="3">
        <v>154</v>
      </c>
      <c r="G248" s="5" t="s">
        <v>48</v>
      </c>
      <c r="H248" s="5" t="s">
        <v>16</v>
      </c>
      <c r="I248" s="5" t="s">
        <v>27</v>
      </c>
      <c r="J248" s="5" t="s">
        <v>28</v>
      </c>
      <c r="K248" s="3">
        <v>56</v>
      </c>
      <c r="L248" s="11">
        <f>jewels[[#This Row],[Unit Price]]/(1+40%)</f>
        <v>4237090.7142857146</v>
      </c>
      <c r="M248" s="11">
        <v>5931927</v>
      </c>
      <c r="N248" s="3">
        <v>10</v>
      </c>
      <c r="O248" s="11">
        <f>jewels[[#This Row],[Cost ]]*jewels[[#This Row],[Sales_Qty]]</f>
        <v>42370907.142857149</v>
      </c>
      <c r="P248" s="11">
        <v>59319270</v>
      </c>
      <c r="Q248" s="11">
        <f>jewels[[#This Row],[Total Sales Value]]-jewels[[#This Row],[Cost Per Unit]]</f>
        <v>16948362.857142851</v>
      </c>
      <c r="R248" s="13">
        <f>jewels[[#This Row],[Profit]]/jewels[[#This Row],[Cost Per Unit]]</f>
        <v>0.3999999999999998</v>
      </c>
    </row>
    <row r="249" spans="1:18" x14ac:dyDescent="0.25">
      <c r="A249" s="3">
        <v>248</v>
      </c>
      <c r="B249" s="4">
        <v>45084</v>
      </c>
      <c r="C249" s="3">
        <v>2023</v>
      </c>
      <c r="D249" s="3">
        <v>6</v>
      </c>
      <c r="E249" s="5" t="s">
        <v>14</v>
      </c>
      <c r="F249" s="3">
        <v>359</v>
      </c>
      <c r="G249" s="5" t="s">
        <v>55</v>
      </c>
      <c r="H249" s="5" t="s">
        <v>56</v>
      </c>
      <c r="I249" s="5" t="s">
        <v>29</v>
      </c>
      <c r="J249" s="5" t="s">
        <v>44</v>
      </c>
      <c r="K249" s="3">
        <v>55</v>
      </c>
      <c r="L249" s="11">
        <f>jewels[[#This Row],[Unit Price]]/(1+40%)</f>
        <v>4391907.8571428573</v>
      </c>
      <c r="M249" s="11">
        <v>6148671</v>
      </c>
      <c r="N249" s="3">
        <v>2</v>
      </c>
      <c r="O249" s="11">
        <f>jewels[[#This Row],[Cost ]]*jewels[[#This Row],[Sales_Qty]]</f>
        <v>8783815.7142857146</v>
      </c>
      <c r="P249" s="11">
        <v>12297342</v>
      </c>
      <c r="Q249" s="11">
        <f>jewels[[#This Row],[Total Sales Value]]-jewels[[#This Row],[Cost Per Unit]]</f>
        <v>3513526.2857142854</v>
      </c>
      <c r="R249" s="13">
        <f>jewels[[#This Row],[Profit]]/jewels[[#This Row],[Cost Per Unit]]</f>
        <v>0.39999999999999997</v>
      </c>
    </row>
    <row r="250" spans="1:18" x14ac:dyDescent="0.25">
      <c r="A250" s="3">
        <v>249</v>
      </c>
      <c r="B250" s="4">
        <v>45342</v>
      </c>
      <c r="C250" s="3">
        <v>2024</v>
      </c>
      <c r="D250" s="3">
        <v>2</v>
      </c>
      <c r="E250" s="5" t="s">
        <v>19</v>
      </c>
      <c r="F250" s="3">
        <v>169</v>
      </c>
      <c r="G250" s="5" t="s">
        <v>59</v>
      </c>
      <c r="H250" s="5" t="s">
        <v>56</v>
      </c>
      <c r="I250" s="5" t="s">
        <v>17</v>
      </c>
      <c r="J250" s="5" t="s">
        <v>18</v>
      </c>
      <c r="K250" s="3">
        <v>93</v>
      </c>
      <c r="L250" s="11">
        <f>jewels[[#This Row],[Unit Price]]/(1+40%)</f>
        <v>6516560.7142857146</v>
      </c>
      <c r="M250" s="11">
        <v>9123185</v>
      </c>
      <c r="N250" s="3">
        <v>6</v>
      </c>
      <c r="O250" s="11">
        <f>jewels[[#This Row],[Cost ]]*jewels[[#This Row],[Sales_Qty]]</f>
        <v>39099364.285714284</v>
      </c>
      <c r="P250" s="11">
        <v>54739110</v>
      </c>
      <c r="Q250" s="11">
        <f>jewels[[#This Row],[Total Sales Value]]-jewels[[#This Row],[Cost Per Unit]]</f>
        <v>15639745.714285716</v>
      </c>
      <c r="R250" s="13">
        <f>jewels[[#This Row],[Profit]]/jewels[[#This Row],[Cost Per Unit]]</f>
        <v>0.40000000000000008</v>
      </c>
    </row>
    <row r="251" spans="1:18" x14ac:dyDescent="0.25">
      <c r="A251" s="3">
        <v>250</v>
      </c>
      <c r="B251" s="4">
        <v>45195</v>
      </c>
      <c r="C251" s="3">
        <v>2023</v>
      </c>
      <c r="D251" s="3">
        <v>9</v>
      </c>
      <c r="E251" s="5" t="s">
        <v>33</v>
      </c>
      <c r="F251" s="3">
        <v>228</v>
      </c>
      <c r="G251" s="5" t="s">
        <v>38</v>
      </c>
      <c r="H251" s="5" t="s">
        <v>35</v>
      </c>
      <c r="I251" s="5" t="s">
        <v>29</v>
      </c>
      <c r="J251" s="5" t="s">
        <v>28</v>
      </c>
      <c r="K251" s="3">
        <v>80</v>
      </c>
      <c r="L251" s="11">
        <f>jewels[[#This Row],[Unit Price]]/(1+40%)</f>
        <v>6044840</v>
      </c>
      <c r="M251" s="11">
        <v>8462776</v>
      </c>
      <c r="N251" s="3">
        <v>10</v>
      </c>
      <c r="O251" s="11">
        <f>jewels[[#This Row],[Cost ]]*jewels[[#This Row],[Sales_Qty]]</f>
        <v>60448400</v>
      </c>
      <c r="P251" s="11">
        <v>84627760</v>
      </c>
      <c r="Q251" s="11">
        <f>jewels[[#This Row],[Total Sales Value]]-jewels[[#This Row],[Cost Per Unit]]</f>
        <v>24179360</v>
      </c>
      <c r="R251" s="13">
        <f>jewels[[#This Row],[Profit]]/jewels[[#This Row],[Cost Per Unit]]</f>
        <v>0.4</v>
      </c>
    </row>
    <row r="252" spans="1:18" x14ac:dyDescent="0.25">
      <c r="A252" s="3">
        <v>251</v>
      </c>
      <c r="B252" s="4">
        <v>45027</v>
      </c>
      <c r="C252" s="3">
        <v>2023</v>
      </c>
      <c r="D252" s="3">
        <v>4</v>
      </c>
      <c r="E252" s="5" t="s">
        <v>24</v>
      </c>
      <c r="F252" s="3">
        <v>30</v>
      </c>
      <c r="G252" s="5" t="s">
        <v>36</v>
      </c>
      <c r="H252" s="5" t="s">
        <v>16</v>
      </c>
      <c r="I252" s="5" t="s">
        <v>22</v>
      </c>
      <c r="J252" s="5" t="s">
        <v>47</v>
      </c>
      <c r="K252" s="3">
        <v>77</v>
      </c>
      <c r="L252" s="11">
        <f>jewels[[#This Row],[Unit Price]]/(1+40%)</f>
        <v>4406706.4285714291</v>
      </c>
      <c r="M252" s="11">
        <v>6169389</v>
      </c>
      <c r="N252" s="3">
        <v>4</v>
      </c>
      <c r="O252" s="11">
        <f>jewels[[#This Row],[Cost ]]*jewels[[#This Row],[Sales_Qty]]</f>
        <v>17626825.714285716</v>
      </c>
      <c r="P252" s="11">
        <v>24677556</v>
      </c>
      <c r="Q252" s="11">
        <f>jewels[[#This Row],[Total Sales Value]]-jewels[[#This Row],[Cost Per Unit]]</f>
        <v>7050730.2857142836</v>
      </c>
      <c r="R252" s="13">
        <f>jewels[[#This Row],[Profit]]/jewels[[#This Row],[Cost Per Unit]]</f>
        <v>0.39999999999999986</v>
      </c>
    </row>
    <row r="253" spans="1:18" x14ac:dyDescent="0.25">
      <c r="A253" s="3">
        <v>252</v>
      </c>
      <c r="B253" s="4">
        <v>44042</v>
      </c>
      <c r="C253" s="3">
        <v>2020</v>
      </c>
      <c r="D253" s="3">
        <v>7</v>
      </c>
      <c r="E253" s="5" t="s">
        <v>49</v>
      </c>
      <c r="F253" s="3">
        <v>244</v>
      </c>
      <c r="G253" s="5" t="s">
        <v>59</v>
      </c>
      <c r="H253" s="5" t="s">
        <v>56</v>
      </c>
      <c r="I253" s="5" t="s">
        <v>27</v>
      </c>
      <c r="J253" s="5" t="s">
        <v>45</v>
      </c>
      <c r="K253" s="3">
        <v>98</v>
      </c>
      <c r="L253" s="11">
        <f>jewels[[#This Row],[Unit Price]]/(1+40%)</f>
        <v>6087999.2857142864</v>
      </c>
      <c r="M253" s="11">
        <v>8523199</v>
      </c>
      <c r="N253" s="3">
        <v>3</v>
      </c>
      <c r="O253" s="11">
        <f>jewels[[#This Row],[Cost ]]*jewels[[#This Row],[Sales_Qty]]</f>
        <v>18263997.857142858</v>
      </c>
      <c r="P253" s="11">
        <v>25569597</v>
      </c>
      <c r="Q253" s="11">
        <f>jewels[[#This Row],[Total Sales Value]]-jewels[[#This Row],[Cost Per Unit]]</f>
        <v>7305599.1428571418</v>
      </c>
      <c r="R253" s="13">
        <f>jewels[[#This Row],[Profit]]/jewels[[#This Row],[Cost Per Unit]]</f>
        <v>0.39999999999999991</v>
      </c>
    </row>
    <row r="254" spans="1:18" x14ac:dyDescent="0.25">
      <c r="A254" s="3">
        <v>253</v>
      </c>
      <c r="B254" s="4">
        <v>45382</v>
      </c>
      <c r="C254" s="3">
        <v>2024</v>
      </c>
      <c r="D254" s="3">
        <v>3</v>
      </c>
      <c r="E254" s="5" t="s">
        <v>43</v>
      </c>
      <c r="F254" s="3">
        <v>162</v>
      </c>
      <c r="G254" s="5" t="s">
        <v>48</v>
      </c>
      <c r="H254" s="5" t="s">
        <v>16</v>
      </c>
      <c r="I254" s="5" t="s">
        <v>29</v>
      </c>
      <c r="J254" s="5" t="s">
        <v>28</v>
      </c>
      <c r="K254" s="3">
        <v>90</v>
      </c>
      <c r="L254" s="11">
        <f>jewels[[#This Row],[Unit Price]]/(1+40%)</f>
        <v>4976814.2857142864</v>
      </c>
      <c r="M254" s="11">
        <v>6967540</v>
      </c>
      <c r="N254" s="3">
        <v>1</v>
      </c>
      <c r="O254" s="11">
        <f>jewels[[#This Row],[Cost ]]*jewels[[#This Row],[Sales_Qty]]</f>
        <v>4976814.2857142864</v>
      </c>
      <c r="P254" s="11">
        <v>6967540</v>
      </c>
      <c r="Q254" s="11">
        <f>jewels[[#This Row],[Total Sales Value]]-jewels[[#This Row],[Cost Per Unit]]</f>
        <v>1990725.7142857136</v>
      </c>
      <c r="R254" s="13">
        <f>jewels[[#This Row],[Profit]]/jewels[[#This Row],[Cost Per Unit]]</f>
        <v>0.3999999999999998</v>
      </c>
    </row>
    <row r="255" spans="1:18" x14ac:dyDescent="0.25">
      <c r="A255" s="3">
        <v>254</v>
      </c>
      <c r="B255" s="4">
        <v>44506</v>
      </c>
      <c r="C255" s="3">
        <v>2021</v>
      </c>
      <c r="D255" s="3">
        <v>11</v>
      </c>
      <c r="E255" s="5" t="s">
        <v>58</v>
      </c>
      <c r="F255" s="3">
        <v>299</v>
      </c>
      <c r="G255" s="5" t="s">
        <v>15</v>
      </c>
      <c r="H255" s="5" t="s">
        <v>16</v>
      </c>
      <c r="I255" s="5" t="s">
        <v>40</v>
      </c>
      <c r="J255" s="5" t="s">
        <v>32</v>
      </c>
      <c r="K255" s="3">
        <v>98</v>
      </c>
      <c r="L255" s="11">
        <f>jewels[[#This Row],[Unit Price]]/(1+40%)</f>
        <v>1749535</v>
      </c>
      <c r="M255" s="11">
        <v>2449349</v>
      </c>
      <c r="N255" s="3">
        <v>8</v>
      </c>
      <c r="O255" s="11">
        <f>jewels[[#This Row],[Cost ]]*jewels[[#This Row],[Sales_Qty]]</f>
        <v>13996280</v>
      </c>
      <c r="P255" s="11">
        <v>19594792</v>
      </c>
      <c r="Q255" s="11">
        <f>jewels[[#This Row],[Total Sales Value]]-jewels[[#This Row],[Cost Per Unit]]</f>
        <v>5598512</v>
      </c>
      <c r="R255" s="13">
        <f>jewels[[#This Row],[Profit]]/jewels[[#This Row],[Cost Per Unit]]</f>
        <v>0.4</v>
      </c>
    </row>
    <row r="256" spans="1:18" x14ac:dyDescent="0.25">
      <c r="A256" s="3">
        <v>255</v>
      </c>
      <c r="B256" s="4">
        <v>44450</v>
      </c>
      <c r="C256" s="3">
        <v>2021</v>
      </c>
      <c r="D256" s="3">
        <v>9</v>
      </c>
      <c r="E256" s="5" t="s">
        <v>33</v>
      </c>
      <c r="F256" s="3">
        <v>274</v>
      </c>
      <c r="G256" s="5" t="s">
        <v>42</v>
      </c>
      <c r="H256" s="5" t="s">
        <v>26</v>
      </c>
      <c r="I256" s="5" t="s">
        <v>27</v>
      </c>
      <c r="J256" s="5" t="s">
        <v>23</v>
      </c>
      <c r="K256" s="3">
        <v>81</v>
      </c>
      <c r="L256" s="11">
        <f>jewels[[#This Row],[Unit Price]]/(1+40%)</f>
        <v>5340700</v>
      </c>
      <c r="M256" s="11">
        <v>7476980</v>
      </c>
      <c r="N256" s="3">
        <v>1</v>
      </c>
      <c r="O256" s="11">
        <f>jewels[[#This Row],[Cost ]]*jewels[[#This Row],[Sales_Qty]]</f>
        <v>5340700</v>
      </c>
      <c r="P256" s="11">
        <v>7476980</v>
      </c>
      <c r="Q256" s="11">
        <f>jewels[[#This Row],[Total Sales Value]]-jewels[[#This Row],[Cost Per Unit]]</f>
        <v>2136280</v>
      </c>
      <c r="R256" s="13">
        <f>jewels[[#This Row],[Profit]]/jewels[[#This Row],[Cost Per Unit]]</f>
        <v>0.4</v>
      </c>
    </row>
    <row r="257" spans="1:18" x14ac:dyDescent="0.25">
      <c r="A257" s="3">
        <v>256</v>
      </c>
      <c r="B257" s="4">
        <v>44749</v>
      </c>
      <c r="C257" s="3">
        <v>2022</v>
      </c>
      <c r="D257" s="3">
        <v>7</v>
      </c>
      <c r="E257" s="5" t="s">
        <v>49</v>
      </c>
      <c r="F257" s="3">
        <v>154</v>
      </c>
      <c r="G257" s="5" t="s">
        <v>36</v>
      </c>
      <c r="H257" s="5" t="s">
        <v>16</v>
      </c>
      <c r="I257" s="5" t="s">
        <v>22</v>
      </c>
      <c r="J257" s="5" t="s">
        <v>32</v>
      </c>
      <c r="K257" s="3">
        <v>83</v>
      </c>
      <c r="L257" s="11">
        <f>jewels[[#This Row],[Unit Price]]/(1+40%)</f>
        <v>1915301.4285714286</v>
      </c>
      <c r="M257" s="11">
        <v>2681422</v>
      </c>
      <c r="N257" s="3">
        <v>7</v>
      </c>
      <c r="O257" s="11">
        <f>jewels[[#This Row],[Cost ]]*jewels[[#This Row],[Sales_Qty]]</f>
        <v>13407110</v>
      </c>
      <c r="P257" s="11">
        <v>18769954</v>
      </c>
      <c r="Q257" s="11">
        <f>jewels[[#This Row],[Total Sales Value]]-jewels[[#This Row],[Cost Per Unit]]</f>
        <v>5362844</v>
      </c>
      <c r="R257" s="13">
        <f>jewels[[#This Row],[Profit]]/jewels[[#This Row],[Cost Per Unit]]</f>
        <v>0.4</v>
      </c>
    </row>
    <row r="258" spans="1:18" x14ac:dyDescent="0.25">
      <c r="A258" s="3">
        <v>257</v>
      </c>
      <c r="B258" s="4">
        <v>45351</v>
      </c>
      <c r="C258" s="3">
        <v>2024</v>
      </c>
      <c r="D258" s="3">
        <v>2</v>
      </c>
      <c r="E258" s="5" t="s">
        <v>19</v>
      </c>
      <c r="F258" s="3">
        <v>339</v>
      </c>
      <c r="G258" s="5" t="s">
        <v>48</v>
      </c>
      <c r="H258" s="5" t="s">
        <v>16</v>
      </c>
      <c r="I258" s="5" t="s">
        <v>17</v>
      </c>
      <c r="J258" s="5" t="s">
        <v>47</v>
      </c>
      <c r="K258" s="3">
        <v>81</v>
      </c>
      <c r="L258" s="11">
        <f>jewels[[#This Row],[Unit Price]]/(1+40%)</f>
        <v>6036735</v>
      </c>
      <c r="M258" s="11">
        <v>8451429</v>
      </c>
      <c r="N258" s="3">
        <v>2</v>
      </c>
      <c r="O258" s="11">
        <f>jewels[[#This Row],[Cost ]]*jewels[[#This Row],[Sales_Qty]]</f>
        <v>12073470</v>
      </c>
      <c r="P258" s="11">
        <v>16902858</v>
      </c>
      <c r="Q258" s="11">
        <f>jewels[[#This Row],[Total Sales Value]]-jewels[[#This Row],[Cost Per Unit]]</f>
        <v>4829388</v>
      </c>
      <c r="R258" s="13">
        <f>jewels[[#This Row],[Profit]]/jewels[[#This Row],[Cost Per Unit]]</f>
        <v>0.4</v>
      </c>
    </row>
    <row r="259" spans="1:18" x14ac:dyDescent="0.25">
      <c r="A259" s="3">
        <v>258</v>
      </c>
      <c r="B259" s="4">
        <v>44111</v>
      </c>
      <c r="C259" s="3">
        <v>2020</v>
      </c>
      <c r="D259" s="3">
        <v>10</v>
      </c>
      <c r="E259" s="5" t="s">
        <v>61</v>
      </c>
      <c r="F259" s="3">
        <v>119</v>
      </c>
      <c r="G259" s="5" t="s">
        <v>57</v>
      </c>
      <c r="H259" s="5" t="s">
        <v>35</v>
      </c>
      <c r="I259" s="5" t="s">
        <v>29</v>
      </c>
      <c r="J259" s="5" t="s">
        <v>44</v>
      </c>
      <c r="K259" s="3">
        <v>66</v>
      </c>
      <c r="L259" s="11">
        <f>jewels[[#This Row],[Unit Price]]/(1+40%)</f>
        <v>973943.57142857148</v>
      </c>
      <c r="M259" s="11">
        <v>1363521</v>
      </c>
      <c r="N259" s="3">
        <v>8</v>
      </c>
      <c r="O259" s="11">
        <f>jewels[[#This Row],[Cost ]]*jewels[[#This Row],[Sales_Qty]]</f>
        <v>7791548.5714285718</v>
      </c>
      <c r="P259" s="11">
        <v>10908168</v>
      </c>
      <c r="Q259" s="11">
        <f>jewels[[#This Row],[Total Sales Value]]-jewels[[#This Row],[Cost Per Unit]]</f>
        <v>3116619.4285714282</v>
      </c>
      <c r="R259" s="13">
        <f>jewels[[#This Row],[Profit]]/jewels[[#This Row],[Cost Per Unit]]</f>
        <v>0.39999999999999991</v>
      </c>
    </row>
    <row r="260" spans="1:18" x14ac:dyDescent="0.25">
      <c r="A260" s="3">
        <v>259</v>
      </c>
      <c r="B260" s="4">
        <v>44195</v>
      </c>
      <c r="C260" s="3">
        <v>2020</v>
      </c>
      <c r="D260" s="3">
        <v>12</v>
      </c>
      <c r="E260" s="5" t="s">
        <v>37</v>
      </c>
      <c r="F260" s="3">
        <v>375</v>
      </c>
      <c r="G260" s="5" t="s">
        <v>65</v>
      </c>
      <c r="H260" s="5" t="s">
        <v>56</v>
      </c>
      <c r="I260" s="5" t="s">
        <v>22</v>
      </c>
      <c r="J260" s="5" t="s">
        <v>47</v>
      </c>
      <c r="K260" s="3">
        <v>62</v>
      </c>
      <c r="L260" s="11">
        <f>jewels[[#This Row],[Unit Price]]/(1+40%)</f>
        <v>1549665</v>
      </c>
      <c r="M260" s="11">
        <v>2169531</v>
      </c>
      <c r="N260" s="3">
        <v>1</v>
      </c>
      <c r="O260" s="11">
        <f>jewels[[#This Row],[Cost ]]*jewels[[#This Row],[Sales_Qty]]</f>
        <v>1549665</v>
      </c>
      <c r="P260" s="11">
        <v>2169531</v>
      </c>
      <c r="Q260" s="11">
        <f>jewels[[#This Row],[Total Sales Value]]-jewels[[#This Row],[Cost Per Unit]]</f>
        <v>619866</v>
      </c>
      <c r="R260" s="13">
        <f>jewels[[#This Row],[Profit]]/jewels[[#This Row],[Cost Per Unit]]</f>
        <v>0.4</v>
      </c>
    </row>
    <row r="261" spans="1:18" x14ac:dyDescent="0.25">
      <c r="A261" s="3">
        <v>260</v>
      </c>
      <c r="B261" s="4">
        <v>45243</v>
      </c>
      <c r="C261" s="3">
        <v>2023</v>
      </c>
      <c r="D261" s="3">
        <v>11</v>
      </c>
      <c r="E261" s="5" t="s">
        <v>58</v>
      </c>
      <c r="F261" s="3">
        <v>389</v>
      </c>
      <c r="G261" s="5" t="s">
        <v>38</v>
      </c>
      <c r="H261" s="5" t="s">
        <v>35</v>
      </c>
      <c r="I261" s="5" t="s">
        <v>40</v>
      </c>
      <c r="J261" s="5" t="s">
        <v>32</v>
      </c>
      <c r="K261" s="3">
        <v>59</v>
      </c>
      <c r="L261" s="11">
        <f>jewels[[#This Row],[Unit Price]]/(1+40%)</f>
        <v>6217214.2857142864</v>
      </c>
      <c r="M261" s="11">
        <v>8704100</v>
      </c>
      <c r="N261" s="3">
        <v>7</v>
      </c>
      <c r="O261" s="11">
        <f>jewels[[#This Row],[Cost ]]*jewels[[#This Row],[Sales_Qty]]</f>
        <v>43520500.000000007</v>
      </c>
      <c r="P261" s="11">
        <v>60928700</v>
      </c>
      <c r="Q261" s="11">
        <f>jewels[[#This Row],[Total Sales Value]]-jewels[[#This Row],[Cost Per Unit]]</f>
        <v>17408199.999999993</v>
      </c>
      <c r="R261" s="13">
        <f>jewels[[#This Row],[Profit]]/jewels[[#This Row],[Cost Per Unit]]</f>
        <v>0.39999999999999974</v>
      </c>
    </row>
    <row r="262" spans="1:18" x14ac:dyDescent="0.25">
      <c r="A262" s="3">
        <v>261</v>
      </c>
      <c r="B262" s="4">
        <v>44242</v>
      </c>
      <c r="C262" s="3">
        <v>2021</v>
      </c>
      <c r="D262" s="3">
        <v>2</v>
      </c>
      <c r="E262" s="5" t="s">
        <v>19</v>
      </c>
      <c r="F262" s="3">
        <v>147</v>
      </c>
      <c r="G262" s="5" t="s">
        <v>42</v>
      </c>
      <c r="H262" s="5" t="s">
        <v>26</v>
      </c>
      <c r="I262" s="5" t="s">
        <v>27</v>
      </c>
      <c r="J262" s="5" t="s">
        <v>30</v>
      </c>
      <c r="K262" s="3">
        <v>63</v>
      </c>
      <c r="L262" s="11">
        <f>jewels[[#This Row],[Unit Price]]/(1+40%)</f>
        <v>1419773.5714285716</v>
      </c>
      <c r="M262" s="11">
        <v>1987683</v>
      </c>
      <c r="N262" s="3">
        <v>1</v>
      </c>
      <c r="O262" s="11">
        <f>jewels[[#This Row],[Cost ]]*jewels[[#This Row],[Sales_Qty]]</f>
        <v>1419773.5714285716</v>
      </c>
      <c r="P262" s="11">
        <v>1987683</v>
      </c>
      <c r="Q262" s="11">
        <f>jewels[[#This Row],[Total Sales Value]]-jewels[[#This Row],[Cost Per Unit]]</f>
        <v>567909.42857142841</v>
      </c>
      <c r="R262" s="13">
        <f>jewels[[#This Row],[Profit]]/jewels[[#This Row],[Cost Per Unit]]</f>
        <v>0.39999999999999986</v>
      </c>
    </row>
    <row r="263" spans="1:18" x14ac:dyDescent="0.25">
      <c r="A263" s="3">
        <v>262</v>
      </c>
      <c r="B263" s="4">
        <v>44057</v>
      </c>
      <c r="C263" s="3">
        <v>2020</v>
      </c>
      <c r="D263" s="3">
        <v>8</v>
      </c>
      <c r="E263" s="5" t="s">
        <v>51</v>
      </c>
      <c r="F263" s="3">
        <v>60</v>
      </c>
      <c r="G263" s="5" t="s">
        <v>15</v>
      </c>
      <c r="H263" s="5" t="s">
        <v>16</v>
      </c>
      <c r="I263" s="5" t="s">
        <v>39</v>
      </c>
      <c r="J263" s="5" t="s">
        <v>32</v>
      </c>
      <c r="K263" s="3">
        <v>95</v>
      </c>
      <c r="L263" s="11">
        <f>jewels[[#This Row],[Unit Price]]/(1+40%)</f>
        <v>4924561.4285714291</v>
      </c>
      <c r="M263" s="11">
        <v>6894386</v>
      </c>
      <c r="N263" s="3">
        <v>1</v>
      </c>
      <c r="O263" s="11">
        <f>jewels[[#This Row],[Cost ]]*jewels[[#This Row],[Sales_Qty]]</f>
        <v>4924561.4285714291</v>
      </c>
      <c r="P263" s="11">
        <v>6894386</v>
      </c>
      <c r="Q263" s="11">
        <f>jewels[[#This Row],[Total Sales Value]]-jewels[[#This Row],[Cost Per Unit]]</f>
        <v>1969824.5714285709</v>
      </c>
      <c r="R263" s="13">
        <f>jewels[[#This Row],[Profit]]/jewels[[#This Row],[Cost Per Unit]]</f>
        <v>0.39999999999999986</v>
      </c>
    </row>
    <row r="264" spans="1:18" x14ac:dyDescent="0.25">
      <c r="A264" s="3">
        <v>263</v>
      </c>
      <c r="B264" s="4">
        <v>45338</v>
      </c>
      <c r="C264" s="3">
        <v>2024</v>
      </c>
      <c r="D264" s="3">
        <v>2</v>
      </c>
      <c r="E264" s="5" t="s">
        <v>19</v>
      </c>
      <c r="F264" s="3">
        <v>287</v>
      </c>
      <c r="G264" s="5" t="s">
        <v>55</v>
      </c>
      <c r="H264" s="5" t="s">
        <v>56</v>
      </c>
      <c r="I264" s="5" t="s">
        <v>27</v>
      </c>
      <c r="J264" s="5" t="s">
        <v>23</v>
      </c>
      <c r="K264" s="3">
        <v>93</v>
      </c>
      <c r="L264" s="11">
        <f>jewels[[#This Row],[Unit Price]]/(1+40%)</f>
        <v>4660165.7142857146</v>
      </c>
      <c r="M264" s="11">
        <v>6524232</v>
      </c>
      <c r="N264" s="3">
        <v>3</v>
      </c>
      <c r="O264" s="11">
        <f>jewels[[#This Row],[Cost ]]*jewels[[#This Row],[Sales_Qty]]</f>
        <v>13980497.142857144</v>
      </c>
      <c r="P264" s="11">
        <v>19572696</v>
      </c>
      <c r="Q264" s="11">
        <f>jewels[[#This Row],[Total Sales Value]]-jewels[[#This Row],[Cost Per Unit]]</f>
        <v>5592198.8571428563</v>
      </c>
      <c r="R264" s="13">
        <f>jewels[[#This Row],[Profit]]/jewels[[#This Row],[Cost Per Unit]]</f>
        <v>0.39999999999999991</v>
      </c>
    </row>
    <row r="265" spans="1:18" x14ac:dyDescent="0.25">
      <c r="A265" s="3">
        <v>264</v>
      </c>
      <c r="B265" s="4">
        <v>44003</v>
      </c>
      <c r="C265" s="3">
        <v>2020</v>
      </c>
      <c r="D265" s="3">
        <v>6</v>
      </c>
      <c r="E265" s="5" t="s">
        <v>14</v>
      </c>
      <c r="F265" s="3">
        <v>357</v>
      </c>
      <c r="G265" s="5" t="s">
        <v>25</v>
      </c>
      <c r="H265" s="5" t="s">
        <v>26</v>
      </c>
      <c r="I265" s="5" t="s">
        <v>27</v>
      </c>
      <c r="J265" s="5" t="s">
        <v>50</v>
      </c>
      <c r="K265" s="3">
        <v>94</v>
      </c>
      <c r="L265" s="11">
        <f>jewels[[#This Row],[Unit Price]]/(1+40%)</f>
        <v>5975592.8571428573</v>
      </c>
      <c r="M265" s="11">
        <v>8365830</v>
      </c>
      <c r="N265" s="3">
        <v>5</v>
      </c>
      <c r="O265" s="11">
        <f>jewels[[#This Row],[Cost ]]*jewels[[#This Row],[Sales_Qty]]</f>
        <v>29877964.285714287</v>
      </c>
      <c r="P265" s="11">
        <v>41829150</v>
      </c>
      <c r="Q265" s="11">
        <f>jewels[[#This Row],[Total Sales Value]]-jewels[[#This Row],[Cost Per Unit]]</f>
        <v>11951185.714285713</v>
      </c>
      <c r="R265" s="13">
        <f>jewels[[#This Row],[Profit]]/jewels[[#This Row],[Cost Per Unit]]</f>
        <v>0.39999999999999991</v>
      </c>
    </row>
    <row r="266" spans="1:18" x14ac:dyDescent="0.25">
      <c r="A266" s="3">
        <v>265</v>
      </c>
      <c r="B266" s="4">
        <v>44107</v>
      </c>
      <c r="C266" s="3">
        <v>2020</v>
      </c>
      <c r="D266" s="3">
        <v>10</v>
      </c>
      <c r="E266" s="5" t="s">
        <v>61</v>
      </c>
      <c r="F266" s="3">
        <v>392</v>
      </c>
      <c r="G266" s="5" t="s">
        <v>64</v>
      </c>
      <c r="H266" s="5" t="s">
        <v>26</v>
      </c>
      <c r="I266" s="5" t="s">
        <v>39</v>
      </c>
      <c r="J266" s="5" t="s">
        <v>45</v>
      </c>
      <c r="K266" s="3">
        <v>50</v>
      </c>
      <c r="L266" s="11">
        <f>jewels[[#This Row],[Unit Price]]/(1+40%)</f>
        <v>6721911.4285714291</v>
      </c>
      <c r="M266" s="11">
        <v>9410676</v>
      </c>
      <c r="N266" s="3">
        <v>10</v>
      </c>
      <c r="O266" s="11">
        <f>jewels[[#This Row],[Cost ]]*jewels[[#This Row],[Sales_Qty]]</f>
        <v>67219114.285714298</v>
      </c>
      <c r="P266" s="11">
        <v>94106760</v>
      </c>
      <c r="Q266" s="11">
        <f>jewels[[#This Row],[Total Sales Value]]-jewels[[#This Row],[Cost Per Unit]]</f>
        <v>26887645.714285702</v>
      </c>
      <c r="R266" s="13">
        <f>jewels[[#This Row],[Profit]]/jewels[[#This Row],[Cost Per Unit]]</f>
        <v>0.39999999999999974</v>
      </c>
    </row>
    <row r="267" spans="1:18" x14ac:dyDescent="0.25">
      <c r="A267" s="3">
        <v>266</v>
      </c>
      <c r="B267" s="4">
        <v>44269</v>
      </c>
      <c r="C267" s="3">
        <v>2021</v>
      </c>
      <c r="D267" s="3">
        <v>3</v>
      </c>
      <c r="E267" s="5" t="s">
        <v>43</v>
      </c>
      <c r="F267" s="3">
        <v>355</v>
      </c>
      <c r="G267" s="5" t="s">
        <v>20</v>
      </c>
      <c r="H267" s="5" t="s">
        <v>21</v>
      </c>
      <c r="I267" s="5" t="s">
        <v>17</v>
      </c>
      <c r="J267" s="5" t="s">
        <v>30</v>
      </c>
      <c r="K267" s="3">
        <v>76</v>
      </c>
      <c r="L267" s="11">
        <f>jewels[[#This Row],[Unit Price]]/(1+40%)</f>
        <v>4052648.5714285718</v>
      </c>
      <c r="M267" s="11">
        <v>5673708</v>
      </c>
      <c r="N267" s="3">
        <v>2</v>
      </c>
      <c r="O267" s="11">
        <f>jewels[[#This Row],[Cost ]]*jewels[[#This Row],[Sales_Qty]]</f>
        <v>8105297.1428571437</v>
      </c>
      <c r="P267" s="11">
        <v>11347416</v>
      </c>
      <c r="Q267" s="11">
        <f>jewels[[#This Row],[Total Sales Value]]-jewels[[#This Row],[Cost Per Unit]]</f>
        <v>3242118.8571428563</v>
      </c>
      <c r="R267" s="13">
        <f>jewels[[#This Row],[Profit]]/jewels[[#This Row],[Cost Per Unit]]</f>
        <v>0.39999999999999986</v>
      </c>
    </row>
    <row r="268" spans="1:18" x14ac:dyDescent="0.25">
      <c r="A268" s="3">
        <v>267</v>
      </c>
      <c r="B268" s="4">
        <v>45088</v>
      </c>
      <c r="C268" s="3">
        <v>2023</v>
      </c>
      <c r="D268" s="3">
        <v>6</v>
      </c>
      <c r="E268" s="5" t="s">
        <v>14</v>
      </c>
      <c r="F268" s="3">
        <v>62</v>
      </c>
      <c r="G268" s="5" t="s">
        <v>15</v>
      </c>
      <c r="H268" s="5" t="s">
        <v>16</v>
      </c>
      <c r="I268" s="5" t="s">
        <v>17</v>
      </c>
      <c r="J268" s="5" t="s">
        <v>23</v>
      </c>
      <c r="K268" s="3">
        <v>92</v>
      </c>
      <c r="L268" s="11">
        <f>jewels[[#This Row],[Unit Price]]/(1+40%)</f>
        <v>6385193.5714285718</v>
      </c>
      <c r="M268" s="11">
        <v>8939271</v>
      </c>
      <c r="N268" s="3">
        <v>10</v>
      </c>
      <c r="O268" s="11">
        <f>jewels[[#This Row],[Cost ]]*jewels[[#This Row],[Sales_Qty]]</f>
        <v>63851935.714285716</v>
      </c>
      <c r="P268" s="11">
        <v>89392710</v>
      </c>
      <c r="Q268" s="11">
        <f>jewels[[#This Row],[Total Sales Value]]-jewels[[#This Row],[Cost Per Unit]]</f>
        <v>25540774.285714284</v>
      </c>
      <c r="R268" s="13">
        <f>jewels[[#This Row],[Profit]]/jewels[[#This Row],[Cost Per Unit]]</f>
        <v>0.39999999999999997</v>
      </c>
    </row>
    <row r="269" spans="1:18" x14ac:dyDescent="0.25">
      <c r="A269" s="3">
        <v>268</v>
      </c>
      <c r="B269" s="4">
        <v>44702</v>
      </c>
      <c r="C269" s="3">
        <v>2022</v>
      </c>
      <c r="D269" s="3">
        <v>5</v>
      </c>
      <c r="E269" s="5" t="s">
        <v>53</v>
      </c>
      <c r="F269" s="3">
        <v>361</v>
      </c>
      <c r="G269" s="5" t="s">
        <v>57</v>
      </c>
      <c r="H269" s="5" t="s">
        <v>35</v>
      </c>
      <c r="I269" s="5" t="s">
        <v>40</v>
      </c>
      <c r="J269" s="5" t="s">
        <v>28</v>
      </c>
      <c r="K269" s="3">
        <v>73</v>
      </c>
      <c r="L269" s="11">
        <f>jewels[[#This Row],[Unit Price]]/(1+40%)</f>
        <v>946913.57142857148</v>
      </c>
      <c r="M269" s="11">
        <v>1325679</v>
      </c>
      <c r="N269" s="3">
        <v>4</v>
      </c>
      <c r="O269" s="11">
        <f>jewels[[#This Row],[Cost ]]*jewels[[#This Row],[Sales_Qty]]</f>
        <v>3787654.2857142859</v>
      </c>
      <c r="P269" s="11">
        <v>5302716</v>
      </c>
      <c r="Q269" s="11">
        <f>jewels[[#This Row],[Total Sales Value]]-jewels[[#This Row],[Cost Per Unit]]</f>
        <v>1515061.7142857141</v>
      </c>
      <c r="R269" s="13">
        <f>jewels[[#This Row],[Profit]]/jewels[[#This Row],[Cost Per Unit]]</f>
        <v>0.39999999999999991</v>
      </c>
    </row>
    <row r="270" spans="1:18" x14ac:dyDescent="0.25">
      <c r="A270" s="3">
        <v>269</v>
      </c>
      <c r="B270" s="4">
        <v>44246</v>
      </c>
      <c r="C270" s="3">
        <v>2021</v>
      </c>
      <c r="D270" s="3">
        <v>2</v>
      </c>
      <c r="E270" s="5" t="s">
        <v>19</v>
      </c>
      <c r="F270" s="3">
        <v>81</v>
      </c>
      <c r="G270" s="5" t="s">
        <v>25</v>
      </c>
      <c r="H270" s="5" t="s">
        <v>26</v>
      </c>
      <c r="I270" s="5" t="s">
        <v>40</v>
      </c>
      <c r="J270" s="5" t="s">
        <v>32</v>
      </c>
      <c r="K270" s="3">
        <v>63</v>
      </c>
      <c r="L270" s="11">
        <f>jewels[[#This Row],[Unit Price]]/(1+40%)</f>
        <v>6375405</v>
      </c>
      <c r="M270" s="11">
        <v>8925567</v>
      </c>
      <c r="N270" s="3">
        <v>7</v>
      </c>
      <c r="O270" s="11">
        <f>jewels[[#This Row],[Cost ]]*jewels[[#This Row],[Sales_Qty]]</f>
        <v>44627835</v>
      </c>
      <c r="P270" s="11">
        <v>62478969</v>
      </c>
      <c r="Q270" s="11">
        <f>jewels[[#This Row],[Total Sales Value]]-jewels[[#This Row],[Cost Per Unit]]</f>
        <v>17851134</v>
      </c>
      <c r="R270" s="13">
        <f>jewels[[#This Row],[Profit]]/jewels[[#This Row],[Cost Per Unit]]</f>
        <v>0.4</v>
      </c>
    </row>
    <row r="271" spans="1:18" x14ac:dyDescent="0.25">
      <c r="A271" s="3">
        <v>270</v>
      </c>
      <c r="B271" s="4">
        <v>44056</v>
      </c>
      <c r="C271" s="3">
        <v>2020</v>
      </c>
      <c r="D271" s="3">
        <v>8</v>
      </c>
      <c r="E271" s="5" t="s">
        <v>51</v>
      </c>
      <c r="F271" s="3">
        <v>404</v>
      </c>
      <c r="G271" s="5" t="s">
        <v>52</v>
      </c>
      <c r="H271" s="5" t="s">
        <v>21</v>
      </c>
      <c r="I271" s="5" t="s">
        <v>17</v>
      </c>
      <c r="J271" s="5" t="s">
        <v>44</v>
      </c>
      <c r="K271" s="3">
        <v>99</v>
      </c>
      <c r="L271" s="11">
        <f>jewels[[#This Row],[Unit Price]]/(1+40%)</f>
        <v>248402.85714285716</v>
      </c>
      <c r="M271" s="11">
        <v>347764</v>
      </c>
      <c r="N271" s="3">
        <v>1</v>
      </c>
      <c r="O271" s="11">
        <f>jewels[[#This Row],[Cost ]]*jewels[[#This Row],[Sales_Qty]]</f>
        <v>248402.85714285716</v>
      </c>
      <c r="P271" s="11">
        <v>347764</v>
      </c>
      <c r="Q271" s="11">
        <f>jewels[[#This Row],[Total Sales Value]]-jewels[[#This Row],[Cost Per Unit]]</f>
        <v>99361.142857142841</v>
      </c>
      <c r="R271" s="13">
        <f>jewels[[#This Row],[Profit]]/jewels[[#This Row],[Cost Per Unit]]</f>
        <v>0.39999999999999991</v>
      </c>
    </row>
    <row r="272" spans="1:18" x14ac:dyDescent="0.25">
      <c r="A272" s="3">
        <v>271</v>
      </c>
      <c r="B272" s="4">
        <v>44729</v>
      </c>
      <c r="C272" s="3">
        <v>2022</v>
      </c>
      <c r="D272" s="3">
        <v>6</v>
      </c>
      <c r="E272" s="5" t="s">
        <v>14</v>
      </c>
      <c r="F272" s="3">
        <v>411</v>
      </c>
      <c r="G272" s="5" t="s">
        <v>52</v>
      </c>
      <c r="H272" s="5" t="s">
        <v>21</v>
      </c>
      <c r="I272" s="5" t="s">
        <v>27</v>
      </c>
      <c r="J272" s="5" t="s">
        <v>45</v>
      </c>
      <c r="K272" s="3">
        <v>90</v>
      </c>
      <c r="L272" s="11">
        <f>jewels[[#This Row],[Unit Price]]/(1+40%)</f>
        <v>1035597.142857143</v>
      </c>
      <c r="M272" s="11">
        <v>1449836</v>
      </c>
      <c r="N272" s="3">
        <v>3</v>
      </c>
      <c r="O272" s="11">
        <f>jewels[[#This Row],[Cost ]]*jewels[[#This Row],[Sales_Qty]]</f>
        <v>3106791.4285714291</v>
      </c>
      <c r="P272" s="11">
        <v>4349508</v>
      </c>
      <c r="Q272" s="11">
        <f>jewels[[#This Row],[Total Sales Value]]-jewels[[#This Row],[Cost Per Unit]]</f>
        <v>1242716.5714285709</v>
      </c>
      <c r="R272" s="13">
        <f>jewels[[#This Row],[Profit]]/jewels[[#This Row],[Cost Per Unit]]</f>
        <v>0.39999999999999974</v>
      </c>
    </row>
    <row r="273" spans="1:18" x14ac:dyDescent="0.25">
      <c r="A273" s="3">
        <v>272</v>
      </c>
      <c r="B273" s="4">
        <v>44369</v>
      </c>
      <c r="C273" s="3">
        <v>2021</v>
      </c>
      <c r="D273" s="3">
        <v>6</v>
      </c>
      <c r="E273" s="5" t="s">
        <v>14</v>
      </c>
      <c r="F273" s="3">
        <v>130</v>
      </c>
      <c r="G273" s="5" t="s">
        <v>38</v>
      </c>
      <c r="H273" s="5" t="s">
        <v>35</v>
      </c>
      <c r="I273" s="5" t="s">
        <v>17</v>
      </c>
      <c r="J273" s="5" t="s">
        <v>45</v>
      </c>
      <c r="K273" s="3">
        <v>88</v>
      </c>
      <c r="L273" s="11">
        <f>jewels[[#This Row],[Unit Price]]/(1+40%)</f>
        <v>6987661.4285714291</v>
      </c>
      <c r="M273" s="11">
        <v>9782726</v>
      </c>
      <c r="N273" s="3">
        <v>5</v>
      </c>
      <c r="O273" s="11">
        <f>jewels[[#This Row],[Cost ]]*jewels[[#This Row],[Sales_Qty]]</f>
        <v>34938307.142857149</v>
      </c>
      <c r="P273" s="11">
        <v>48913630</v>
      </c>
      <c r="Q273" s="11">
        <f>jewels[[#This Row],[Total Sales Value]]-jewels[[#This Row],[Cost Per Unit]]</f>
        <v>13975322.857142851</v>
      </c>
      <c r="R273" s="13">
        <f>jewels[[#This Row],[Profit]]/jewels[[#This Row],[Cost Per Unit]]</f>
        <v>0.39999999999999974</v>
      </c>
    </row>
    <row r="274" spans="1:18" x14ac:dyDescent="0.25">
      <c r="A274" s="3">
        <v>273</v>
      </c>
      <c r="B274" s="4">
        <v>44553</v>
      </c>
      <c r="C274" s="3">
        <v>2021</v>
      </c>
      <c r="D274" s="3">
        <v>12</v>
      </c>
      <c r="E274" s="5" t="s">
        <v>37</v>
      </c>
      <c r="F274" s="3">
        <v>41</v>
      </c>
      <c r="G274" s="5" t="s">
        <v>59</v>
      </c>
      <c r="H274" s="5" t="s">
        <v>56</v>
      </c>
      <c r="I274" s="5" t="s">
        <v>39</v>
      </c>
      <c r="J274" s="5" t="s">
        <v>44</v>
      </c>
      <c r="K274" s="3">
        <v>88</v>
      </c>
      <c r="L274" s="11">
        <f>jewels[[#This Row],[Unit Price]]/(1+40%)</f>
        <v>5723222.8571428573</v>
      </c>
      <c r="M274" s="11">
        <v>8012512</v>
      </c>
      <c r="N274" s="3">
        <v>5</v>
      </c>
      <c r="O274" s="11">
        <f>jewels[[#This Row],[Cost ]]*jewels[[#This Row],[Sales_Qty]]</f>
        <v>28616114.285714287</v>
      </c>
      <c r="P274" s="11">
        <v>40062560</v>
      </c>
      <c r="Q274" s="11">
        <f>jewels[[#This Row],[Total Sales Value]]-jewels[[#This Row],[Cost Per Unit]]</f>
        <v>11446445.714285713</v>
      </c>
      <c r="R274" s="13">
        <f>jewels[[#This Row],[Profit]]/jewels[[#This Row],[Cost Per Unit]]</f>
        <v>0.39999999999999991</v>
      </c>
    </row>
    <row r="275" spans="1:18" x14ac:dyDescent="0.25">
      <c r="A275" s="3">
        <v>274</v>
      </c>
      <c r="B275" s="4">
        <v>44085</v>
      </c>
      <c r="C275" s="3">
        <v>2020</v>
      </c>
      <c r="D275" s="3">
        <v>9</v>
      </c>
      <c r="E275" s="5" t="s">
        <v>33</v>
      </c>
      <c r="F275" s="3">
        <v>224</v>
      </c>
      <c r="G275" s="5" t="s">
        <v>38</v>
      </c>
      <c r="H275" s="5" t="s">
        <v>35</v>
      </c>
      <c r="I275" s="5" t="s">
        <v>27</v>
      </c>
      <c r="J275" s="5" t="s">
        <v>28</v>
      </c>
      <c r="K275" s="3">
        <v>66</v>
      </c>
      <c r="L275" s="11">
        <f>jewels[[#This Row],[Unit Price]]/(1+40%)</f>
        <v>6919205.7142857146</v>
      </c>
      <c r="M275" s="11">
        <v>9686888</v>
      </c>
      <c r="N275" s="3">
        <v>7</v>
      </c>
      <c r="O275" s="11">
        <f>jewels[[#This Row],[Cost ]]*jewels[[#This Row],[Sales_Qty]]</f>
        <v>48434440</v>
      </c>
      <c r="P275" s="11">
        <v>67808216</v>
      </c>
      <c r="Q275" s="11">
        <f>jewels[[#This Row],[Total Sales Value]]-jewels[[#This Row],[Cost Per Unit]]</f>
        <v>19373776</v>
      </c>
      <c r="R275" s="13">
        <f>jewels[[#This Row],[Profit]]/jewels[[#This Row],[Cost Per Unit]]</f>
        <v>0.4</v>
      </c>
    </row>
    <row r="276" spans="1:18" x14ac:dyDescent="0.25">
      <c r="A276" s="3">
        <v>275</v>
      </c>
      <c r="B276" s="4">
        <v>44260</v>
      </c>
      <c r="C276" s="3">
        <v>2021</v>
      </c>
      <c r="D276" s="3">
        <v>3</v>
      </c>
      <c r="E276" s="5" t="s">
        <v>43</v>
      </c>
      <c r="F276" s="3">
        <v>349</v>
      </c>
      <c r="G276" s="5" t="s">
        <v>46</v>
      </c>
      <c r="H276" s="5" t="s">
        <v>35</v>
      </c>
      <c r="I276" s="5" t="s">
        <v>29</v>
      </c>
      <c r="J276" s="5" t="s">
        <v>28</v>
      </c>
      <c r="K276" s="3">
        <v>86</v>
      </c>
      <c r="L276" s="11">
        <f>jewels[[#This Row],[Unit Price]]/(1+40%)</f>
        <v>1940387.8571428573</v>
      </c>
      <c r="M276" s="11">
        <v>2716543</v>
      </c>
      <c r="N276" s="3">
        <v>9</v>
      </c>
      <c r="O276" s="11">
        <f>jewels[[#This Row],[Cost ]]*jewels[[#This Row],[Sales_Qty]]</f>
        <v>17463490.714285716</v>
      </c>
      <c r="P276" s="11">
        <v>24448887</v>
      </c>
      <c r="Q276" s="11">
        <f>jewels[[#This Row],[Total Sales Value]]-jewels[[#This Row],[Cost Per Unit]]</f>
        <v>6985396.2857142836</v>
      </c>
      <c r="R276" s="13">
        <f>jewels[[#This Row],[Profit]]/jewels[[#This Row],[Cost Per Unit]]</f>
        <v>0.39999999999999986</v>
      </c>
    </row>
    <row r="277" spans="1:18" x14ac:dyDescent="0.25">
      <c r="A277" s="3">
        <v>276</v>
      </c>
      <c r="B277" s="4">
        <v>45276</v>
      </c>
      <c r="C277" s="3">
        <v>2023</v>
      </c>
      <c r="D277" s="3">
        <v>12</v>
      </c>
      <c r="E277" s="5" t="s">
        <v>37</v>
      </c>
      <c r="F277" s="3">
        <v>108</v>
      </c>
      <c r="G277" s="5" t="s">
        <v>31</v>
      </c>
      <c r="H277" s="5" t="s">
        <v>26</v>
      </c>
      <c r="I277" s="5" t="s">
        <v>39</v>
      </c>
      <c r="J277" s="5" t="s">
        <v>45</v>
      </c>
      <c r="K277" s="3">
        <v>99</v>
      </c>
      <c r="L277" s="11">
        <f>jewels[[#This Row],[Unit Price]]/(1+40%)</f>
        <v>1736811.4285714286</v>
      </c>
      <c r="M277" s="11">
        <v>2431536</v>
      </c>
      <c r="N277" s="3">
        <v>9</v>
      </c>
      <c r="O277" s="11">
        <f>jewels[[#This Row],[Cost ]]*jewels[[#This Row],[Sales_Qty]]</f>
        <v>15631302.857142858</v>
      </c>
      <c r="P277" s="11">
        <v>21883824</v>
      </c>
      <c r="Q277" s="11">
        <f>jewels[[#This Row],[Total Sales Value]]-jewels[[#This Row],[Cost Per Unit]]</f>
        <v>6252521.1428571418</v>
      </c>
      <c r="R277" s="13">
        <f>jewels[[#This Row],[Profit]]/jewels[[#This Row],[Cost Per Unit]]</f>
        <v>0.39999999999999991</v>
      </c>
    </row>
    <row r="278" spans="1:18" x14ac:dyDescent="0.25">
      <c r="A278" s="3">
        <v>277</v>
      </c>
      <c r="B278" s="4">
        <v>45232</v>
      </c>
      <c r="C278" s="3">
        <v>2023</v>
      </c>
      <c r="D278" s="3">
        <v>11</v>
      </c>
      <c r="E278" s="5" t="s">
        <v>58</v>
      </c>
      <c r="F278" s="3">
        <v>348</v>
      </c>
      <c r="G278" s="5" t="s">
        <v>55</v>
      </c>
      <c r="H278" s="5" t="s">
        <v>56</v>
      </c>
      <c r="I278" s="5" t="s">
        <v>39</v>
      </c>
      <c r="J278" s="5" t="s">
        <v>47</v>
      </c>
      <c r="K278" s="3">
        <v>91</v>
      </c>
      <c r="L278" s="11">
        <f>jewels[[#This Row],[Unit Price]]/(1+40%)</f>
        <v>4083924.2857142859</v>
      </c>
      <c r="M278" s="11">
        <v>5717494</v>
      </c>
      <c r="N278" s="3">
        <v>10</v>
      </c>
      <c r="O278" s="11">
        <f>jewels[[#This Row],[Cost ]]*jewels[[#This Row],[Sales_Qty]]</f>
        <v>40839242.857142858</v>
      </c>
      <c r="P278" s="11">
        <v>57174940</v>
      </c>
      <c r="Q278" s="11">
        <f>jewels[[#This Row],[Total Sales Value]]-jewels[[#This Row],[Cost Per Unit]]</f>
        <v>16335697.142857142</v>
      </c>
      <c r="R278" s="13">
        <f>jewels[[#This Row],[Profit]]/jewels[[#This Row],[Cost Per Unit]]</f>
        <v>0.39999999999999997</v>
      </c>
    </row>
    <row r="279" spans="1:18" x14ac:dyDescent="0.25">
      <c r="A279" s="3">
        <v>278</v>
      </c>
      <c r="B279" s="4">
        <v>45163</v>
      </c>
      <c r="C279" s="3">
        <v>2023</v>
      </c>
      <c r="D279" s="3">
        <v>8</v>
      </c>
      <c r="E279" s="5" t="s">
        <v>51</v>
      </c>
      <c r="F279" s="3">
        <v>161</v>
      </c>
      <c r="G279" s="5" t="s">
        <v>62</v>
      </c>
      <c r="H279" s="5" t="s">
        <v>56</v>
      </c>
      <c r="I279" s="5" t="s">
        <v>29</v>
      </c>
      <c r="J279" s="5" t="s">
        <v>18</v>
      </c>
      <c r="K279" s="3">
        <v>54</v>
      </c>
      <c r="L279" s="11">
        <f>jewels[[#This Row],[Unit Price]]/(1+40%)</f>
        <v>2738824.2857142859</v>
      </c>
      <c r="M279" s="11">
        <v>3834354</v>
      </c>
      <c r="N279" s="3">
        <v>10</v>
      </c>
      <c r="O279" s="11">
        <f>jewels[[#This Row],[Cost ]]*jewels[[#This Row],[Sales_Qty]]</f>
        <v>27388242.857142858</v>
      </c>
      <c r="P279" s="11">
        <v>38343540</v>
      </c>
      <c r="Q279" s="11">
        <f>jewels[[#This Row],[Total Sales Value]]-jewels[[#This Row],[Cost Per Unit]]</f>
        <v>10955297.142857142</v>
      </c>
      <c r="R279" s="13">
        <f>jewels[[#This Row],[Profit]]/jewels[[#This Row],[Cost Per Unit]]</f>
        <v>0.39999999999999997</v>
      </c>
    </row>
    <row r="280" spans="1:18" x14ac:dyDescent="0.25">
      <c r="A280" s="3">
        <v>279</v>
      </c>
      <c r="B280" s="4">
        <v>44991</v>
      </c>
      <c r="C280" s="3">
        <v>2023</v>
      </c>
      <c r="D280" s="3">
        <v>3</v>
      </c>
      <c r="E280" s="5" t="s">
        <v>43</v>
      </c>
      <c r="F280" s="3">
        <v>346</v>
      </c>
      <c r="G280" s="5" t="s">
        <v>62</v>
      </c>
      <c r="H280" s="5" t="s">
        <v>56</v>
      </c>
      <c r="I280" s="5" t="s">
        <v>29</v>
      </c>
      <c r="J280" s="5" t="s">
        <v>18</v>
      </c>
      <c r="K280" s="3">
        <v>65</v>
      </c>
      <c r="L280" s="11">
        <f>jewels[[#This Row],[Unit Price]]/(1+40%)</f>
        <v>2234132.1428571432</v>
      </c>
      <c r="M280" s="11">
        <v>3127785</v>
      </c>
      <c r="N280" s="3">
        <v>9</v>
      </c>
      <c r="O280" s="11">
        <f>jewels[[#This Row],[Cost ]]*jewels[[#This Row],[Sales_Qty]]</f>
        <v>20107189.285714287</v>
      </c>
      <c r="P280" s="11">
        <v>28150065</v>
      </c>
      <c r="Q280" s="11">
        <f>jewels[[#This Row],[Total Sales Value]]-jewels[[#This Row],[Cost Per Unit]]</f>
        <v>8042875.7142857127</v>
      </c>
      <c r="R280" s="13">
        <f>jewels[[#This Row],[Profit]]/jewels[[#This Row],[Cost Per Unit]]</f>
        <v>0.39999999999999991</v>
      </c>
    </row>
    <row r="281" spans="1:18" x14ac:dyDescent="0.25">
      <c r="A281" s="3">
        <v>280</v>
      </c>
      <c r="B281" s="4">
        <v>44473</v>
      </c>
      <c r="C281" s="3">
        <v>2021</v>
      </c>
      <c r="D281" s="3">
        <v>10</v>
      </c>
      <c r="E281" s="5" t="s">
        <v>61</v>
      </c>
      <c r="F281" s="3">
        <v>374</v>
      </c>
      <c r="G281" s="5" t="s">
        <v>34</v>
      </c>
      <c r="H281" s="5" t="s">
        <v>35</v>
      </c>
      <c r="I281" s="5" t="s">
        <v>22</v>
      </c>
      <c r="J281" s="5" t="s">
        <v>47</v>
      </c>
      <c r="K281" s="3">
        <v>83</v>
      </c>
      <c r="L281" s="11">
        <f>jewels[[#This Row],[Unit Price]]/(1+40%)</f>
        <v>4342601.4285714291</v>
      </c>
      <c r="M281" s="11">
        <v>6079642</v>
      </c>
      <c r="N281" s="3">
        <v>6</v>
      </c>
      <c r="O281" s="11">
        <f>jewels[[#This Row],[Cost ]]*jewels[[#This Row],[Sales_Qty]]</f>
        <v>26055608.571428575</v>
      </c>
      <c r="P281" s="11">
        <v>36477852</v>
      </c>
      <c r="Q281" s="11">
        <f>jewels[[#This Row],[Total Sales Value]]-jewels[[#This Row],[Cost Per Unit]]</f>
        <v>10422243.428571425</v>
      </c>
      <c r="R281" s="13">
        <f>jewels[[#This Row],[Profit]]/jewels[[#This Row],[Cost Per Unit]]</f>
        <v>0.39999999999999986</v>
      </c>
    </row>
    <row r="282" spans="1:18" x14ac:dyDescent="0.25">
      <c r="A282" s="3">
        <v>281</v>
      </c>
      <c r="B282" s="4">
        <v>44742</v>
      </c>
      <c r="C282" s="3">
        <v>2022</v>
      </c>
      <c r="D282" s="3">
        <v>6</v>
      </c>
      <c r="E282" s="5" t="s">
        <v>14</v>
      </c>
      <c r="F282" s="3">
        <v>448</v>
      </c>
      <c r="G282" s="5" t="s">
        <v>31</v>
      </c>
      <c r="H282" s="5" t="s">
        <v>26</v>
      </c>
      <c r="I282" s="5" t="s">
        <v>29</v>
      </c>
      <c r="J282" s="5" t="s">
        <v>18</v>
      </c>
      <c r="K282" s="3">
        <v>98</v>
      </c>
      <c r="L282" s="11">
        <f>jewels[[#This Row],[Unit Price]]/(1+40%)</f>
        <v>2168857.8571428573</v>
      </c>
      <c r="M282" s="11">
        <v>3036401</v>
      </c>
      <c r="N282" s="3">
        <v>2</v>
      </c>
      <c r="O282" s="11">
        <f>jewels[[#This Row],[Cost ]]*jewels[[#This Row],[Sales_Qty]]</f>
        <v>4337715.7142857146</v>
      </c>
      <c r="P282" s="11">
        <v>6072802</v>
      </c>
      <c r="Q282" s="11">
        <f>jewels[[#This Row],[Total Sales Value]]-jewels[[#This Row],[Cost Per Unit]]</f>
        <v>1735086.2857142854</v>
      </c>
      <c r="R282" s="13">
        <f>jewels[[#This Row],[Profit]]/jewels[[#This Row],[Cost Per Unit]]</f>
        <v>0.39999999999999991</v>
      </c>
    </row>
    <row r="283" spans="1:18" x14ac:dyDescent="0.25">
      <c r="A283" s="3">
        <v>282</v>
      </c>
      <c r="B283" s="4">
        <v>44046</v>
      </c>
      <c r="C283" s="3">
        <v>2020</v>
      </c>
      <c r="D283" s="3">
        <v>8</v>
      </c>
      <c r="E283" s="5" t="s">
        <v>51</v>
      </c>
      <c r="F283" s="3">
        <v>65</v>
      </c>
      <c r="G283" s="5" t="s">
        <v>38</v>
      </c>
      <c r="H283" s="5" t="s">
        <v>35</v>
      </c>
      <c r="I283" s="5" t="s">
        <v>29</v>
      </c>
      <c r="J283" s="5" t="s">
        <v>45</v>
      </c>
      <c r="K283" s="3">
        <v>97</v>
      </c>
      <c r="L283" s="11">
        <f>jewels[[#This Row],[Unit Price]]/(1+40%)</f>
        <v>5441785.7142857146</v>
      </c>
      <c r="M283" s="11">
        <v>7618500</v>
      </c>
      <c r="N283" s="3">
        <v>6</v>
      </c>
      <c r="O283" s="11">
        <f>jewels[[#This Row],[Cost ]]*jewels[[#This Row],[Sales_Qty]]</f>
        <v>32650714.285714287</v>
      </c>
      <c r="P283" s="11">
        <v>45711000</v>
      </c>
      <c r="Q283" s="11">
        <f>jewels[[#This Row],[Total Sales Value]]-jewels[[#This Row],[Cost Per Unit]]</f>
        <v>13060285.714285713</v>
      </c>
      <c r="R283" s="13">
        <f>jewels[[#This Row],[Profit]]/jewels[[#This Row],[Cost Per Unit]]</f>
        <v>0.39999999999999991</v>
      </c>
    </row>
    <row r="284" spans="1:18" x14ac:dyDescent="0.25">
      <c r="A284" s="3">
        <v>283</v>
      </c>
      <c r="B284" s="4">
        <v>44314</v>
      </c>
      <c r="C284" s="3">
        <v>2021</v>
      </c>
      <c r="D284" s="3">
        <v>4</v>
      </c>
      <c r="E284" s="5" t="s">
        <v>24</v>
      </c>
      <c r="F284" s="3">
        <v>48</v>
      </c>
      <c r="G284" s="5" t="s">
        <v>55</v>
      </c>
      <c r="H284" s="5" t="s">
        <v>56</v>
      </c>
      <c r="I284" s="5" t="s">
        <v>29</v>
      </c>
      <c r="J284" s="5" t="s">
        <v>23</v>
      </c>
      <c r="K284" s="3">
        <v>60</v>
      </c>
      <c r="L284" s="11">
        <f>jewels[[#This Row],[Unit Price]]/(1+40%)</f>
        <v>4626920</v>
      </c>
      <c r="M284" s="11">
        <v>6477688</v>
      </c>
      <c r="N284" s="3">
        <v>6</v>
      </c>
      <c r="O284" s="11">
        <f>jewels[[#This Row],[Cost ]]*jewels[[#This Row],[Sales_Qty]]</f>
        <v>27761520</v>
      </c>
      <c r="P284" s="11">
        <v>38866128</v>
      </c>
      <c r="Q284" s="11">
        <f>jewels[[#This Row],[Total Sales Value]]-jewels[[#This Row],[Cost Per Unit]]</f>
        <v>11104608</v>
      </c>
      <c r="R284" s="13">
        <f>jewels[[#This Row],[Profit]]/jewels[[#This Row],[Cost Per Unit]]</f>
        <v>0.4</v>
      </c>
    </row>
    <row r="285" spans="1:18" x14ac:dyDescent="0.25">
      <c r="A285" s="3">
        <v>284</v>
      </c>
      <c r="B285" s="4">
        <v>44003</v>
      </c>
      <c r="C285" s="3">
        <v>2020</v>
      </c>
      <c r="D285" s="3">
        <v>6</v>
      </c>
      <c r="E285" s="5" t="s">
        <v>14</v>
      </c>
      <c r="F285" s="3">
        <v>298</v>
      </c>
      <c r="G285" s="5" t="s">
        <v>62</v>
      </c>
      <c r="H285" s="5" t="s">
        <v>56</v>
      </c>
      <c r="I285" s="5" t="s">
        <v>22</v>
      </c>
      <c r="J285" s="5" t="s">
        <v>47</v>
      </c>
      <c r="K285" s="3">
        <v>91</v>
      </c>
      <c r="L285" s="11">
        <f>jewels[[#This Row],[Unit Price]]/(1+40%)</f>
        <v>2591645.7142857146</v>
      </c>
      <c r="M285" s="11">
        <v>3628304</v>
      </c>
      <c r="N285" s="3">
        <v>4</v>
      </c>
      <c r="O285" s="11">
        <f>jewels[[#This Row],[Cost ]]*jewels[[#This Row],[Sales_Qty]]</f>
        <v>10366582.857142858</v>
      </c>
      <c r="P285" s="11">
        <v>14513216</v>
      </c>
      <c r="Q285" s="11">
        <f>jewels[[#This Row],[Total Sales Value]]-jewels[[#This Row],[Cost Per Unit]]</f>
        <v>4146633.1428571418</v>
      </c>
      <c r="R285" s="13">
        <f>jewels[[#This Row],[Profit]]/jewels[[#This Row],[Cost Per Unit]]</f>
        <v>0.39999999999999986</v>
      </c>
    </row>
    <row r="286" spans="1:18" x14ac:dyDescent="0.25">
      <c r="A286" s="3">
        <v>285</v>
      </c>
      <c r="B286" s="4">
        <v>44412</v>
      </c>
      <c r="C286" s="3">
        <v>2021</v>
      </c>
      <c r="D286" s="3">
        <v>8</v>
      </c>
      <c r="E286" s="5" t="s">
        <v>51</v>
      </c>
      <c r="F286" s="3">
        <v>117</v>
      </c>
      <c r="G286" s="5" t="s">
        <v>31</v>
      </c>
      <c r="H286" s="5" t="s">
        <v>26</v>
      </c>
      <c r="I286" s="5" t="s">
        <v>17</v>
      </c>
      <c r="J286" s="5" t="s">
        <v>28</v>
      </c>
      <c r="K286" s="3">
        <v>64</v>
      </c>
      <c r="L286" s="11">
        <f>jewels[[#This Row],[Unit Price]]/(1+40%)</f>
        <v>5058172.1428571427</v>
      </c>
      <c r="M286" s="11">
        <v>7081441</v>
      </c>
      <c r="N286" s="3">
        <v>5</v>
      </c>
      <c r="O286" s="11">
        <f>jewels[[#This Row],[Cost ]]*jewels[[#This Row],[Sales_Qty]]</f>
        <v>25290860.714285713</v>
      </c>
      <c r="P286" s="11">
        <v>35407205</v>
      </c>
      <c r="Q286" s="11">
        <f>jewels[[#This Row],[Total Sales Value]]-jewels[[#This Row],[Cost Per Unit]]</f>
        <v>10116344.285714287</v>
      </c>
      <c r="R286" s="13">
        <f>jewels[[#This Row],[Profit]]/jewels[[#This Row],[Cost Per Unit]]</f>
        <v>0.40000000000000008</v>
      </c>
    </row>
    <row r="287" spans="1:18" x14ac:dyDescent="0.25">
      <c r="A287" s="3">
        <v>286</v>
      </c>
      <c r="B287" s="4">
        <v>44116</v>
      </c>
      <c r="C287" s="3">
        <v>2020</v>
      </c>
      <c r="D287" s="3">
        <v>10</v>
      </c>
      <c r="E287" s="5" t="s">
        <v>61</v>
      </c>
      <c r="F287" s="3">
        <v>282</v>
      </c>
      <c r="G287" s="5" t="s">
        <v>62</v>
      </c>
      <c r="H287" s="5" t="s">
        <v>56</v>
      </c>
      <c r="I287" s="5" t="s">
        <v>22</v>
      </c>
      <c r="J287" s="5" t="s">
        <v>18</v>
      </c>
      <c r="K287" s="3">
        <v>52</v>
      </c>
      <c r="L287" s="11">
        <f>jewels[[#This Row],[Unit Price]]/(1+40%)</f>
        <v>3547534.2857142859</v>
      </c>
      <c r="M287" s="11">
        <v>4966548</v>
      </c>
      <c r="N287" s="3">
        <v>10</v>
      </c>
      <c r="O287" s="11">
        <f>jewels[[#This Row],[Cost ]]*jewels[[#This Row],[Sales_Qty]]</f>
        <v>35475342.857142858</v>
      </c>
      <c r="P287" s="11">
        <v>49665480</v>
      </c>
      <c r="Q287" s="11">
        <f>jewels[[#This Row],[Total Sales Value]]-jewels[[#This Row],[Cost Per Unit]]</f>
        <v>14190137.142857142</v>
      </c>
      <c r="R287" s="13">
        <f>jewels[[#This Row],[Profit]]/jewels[[#This Row],[Cost Per Unit]]</f>
        <v>0.39999999999999997</v>
      </c>
    </row>
    <row r="288" spans="1:18" x14ac:dyDescent="0.25">
      <c r="A288" s="3">
        <v>287</v>
      </c>
      <c r="B288" s="4">
        <v>44642</v>
      </c>
      <c r="C288" s="3">
        <v>2022</v>
      </c>
      <c r="D288" s="3">
        <v>3</v>
      </c>
      <c r="E288" s="5" t="s">
        <v>43</v>
      </c>
      <c r="F288" s="3">
        <v>252</v>
      </c>
      <c r="G288" s="5" t="s">
        <v>15</v>
      </c>
      <c r="H288" s="5" t="s">
        <v>16</v>
      </c>
      <c r="I288" s="5" t="s">
        <v>17</v>
      </c>
      <c r="J288" s="5" t="s">
        <v>30</v>
      </c>
      <c r="K288" s="3">
        <v>94</v>
      </c>
      <c r="L288" s="11">
        <f>jewels[[#This Row],[Unit Price]]/(1+40%)</f>
        <v>6755139.2857142864</v>
      </c>
      <c r="M288" s="11">
        <v>9457195</v>
      </c>
      <c r="N288" s="3">
        <v>9</v>
      </c>
      <c r="O288" s="11">
        <f>jewels[[#This Row],[Cost ]]*jewels[[#This Row],[Sales_Qty]]</f>
        <v>60796253.571428575</v>
      </c>
      <c r="P288" s="11">
        <v>85114755</v>
      </c>
      <c r="Q288" s="11">
        <f>jewels[[#This Row],[Total Sales Value]]-jewels[[#This Row],[Cost Per Unit]]</f>
        <v>24318501.428571425</v>
      </c>
      <c r="R288" s="13">
        <f>jewels[[#This Row],[Profit]]/jewels[[#This Row],[Cost Per Unit]]</f>
        <v>0.39999999999999991</v>
      </c>
    </row>
    <row r="289" spans="1:18" x14ac:dyDescent="0.25">
      <c r="A289" s="3">
        <v>288</v>
      </c>
      <c r="B289" s="4">
        <v>45087</v>
      </c>
      <c r="C289" s="3">
        <v>2023</v>
      </c>
      <c r="D289" s="3">
        <v>6</v>
      </c>
      <c r="E289" s="5" t="s">
        <v>14</v>
      </c>
      <c r="F289" s="3">
        <v>267</v>
      </c>
      <c r="G289" s="5" t="s">
        <v>48</v>
      </c>
      <c r="H289" s="5" t="s">
        <v>16</v>
      </c>
      <c r="I289" s="5" t="s">
        <v>22</v>
      </c>
      <c r="J289" s="5" t="s">
        <v>50</v>
      </c>
      <c r="K289" s="3">
        <v>53</v>
      </c>
      <c r="L289" s="11">
        <f>jewels[[#This Row],[Unit Price]]/(1+40%)</f>
        <v>1859670.0000000002</v>
      </c>
      <c r="M289" s="11">
        <v>2603538</v>
      </c>
      <c r="N289" s="3">
        <v>9</v>
      </c>
      <c r="O289" s="11">
        <f>jewels[[#This Row],[Cost ]]*jewels[[#This Row],[Sales_Qty]]</f>
        <v>16737030.000000002</v>
      </c>
      <c r="P289" s="11">
        <v>23431842</v>
      </c>
      <c r="Q289" s="11">
        <f>jewels[[#This Row],[Total Sales Value]]-jewels[[#This Row],[Cost Per Unit]]</f>
        <v>6694811.9999999981</v>
      </c>
      <c r="R289" s="13">
        <f>jewels[[#This Row],[Profit]]/jewels[[#This Row],[Cost Per Unit]]</f>
        <v>0.39999999999999986</v>
      </c>
    </row>
    <row r="290" spans="1:18" x14ac:dyDescent="0.25">
      <c r="A290" s="3">
        <v>289</v>
      </c>
      <c r="B290" s="4">
        <v>44343</v>
      </c>
      <c r="C290" s="3">
        <v>2021</v>
      </c>
      <c r="D290" s="3">
        <v>5</v>
      </c>
      <c r="E290" s="5" t="s">
        <v>53</v>
      </c>
      <c r="F290" s="3">
        <v>101</v>
      </c>
      <c r="G290" s="5" t="s">
        <v>25</v>
      </c>
      <c r="H290" s="5" t="s">
        <v>26</v>
      </c>
      <c r="I290" s="5" t="s">
        <v>29</v>
      </c>
      <c r="J290" s="5" t="s">
        <v>44</v>
      </c>
      <c r="K290" s="3">
        <v>58</v>
      </c>
      <c r="L290" s="11">
        <f>jewels[[#This Row],[Unit Price]]/(1+40%)</f>
        <v>4350275.7142857146</v>
      </c>
      <c r="M290" s="11">
        <v>6090386</v>
      </c>
      <c r="N290" s="3">
        <v>3</v>
      </c>
      <c r="O290" s="11">
        <f>jewels[[#This Row],[Cost ]]*jewels[[#This Row],[Sales_Qty]]</f>
        <v>13050827.142857144</v>
      </c>
      <c r="P290" s="11">
        <v>18271158</v>
      </c>
      <c r="Q290" s="11">
        <f>jewels[[#This Row],[Total Sales Value]]-jewels[[#This Row],[Cost Per Unit]]</f>
        <v>5220330.8571428563</v>
      </c>
      <c r="R290" s="13">
        <f>jewels[[#This Row],[Profit]]/jewels[[#This Row],[Cost Per Unit]]</f>
        <v>0.39999999999999991</v>
      </c>
    </row>
    <row r="291" spans="1:18" x14ac:dyDescent="0.25">
      <c r="A291" s="3">
        <v>290</v>
      </c>
      <c r="B291" s="4">
        <v>44820</v>
      </c>
      <c r="C291" s="3">
        <v>2022</v>
      </c>
      <c r="D291" s="3">
        <v>9</v>
      </c>
      <c r="E291" s="5" t="s">
        <v>33</v>
      </c>
      <c r="F291" s="3">
        <v>334</v>
      </c>
      <c r="G291" s="5" t="s">
        <v>42</v>
      </c>
      <c r="H291" s="5" t="s">
        <v>26</v>
      </c>
      <c r="I291" s="5" t="s">
        <v>22</v>
      </c>
      <c r="J291" s="5" t="s">
        <v>50</v>
      </c>
      <c r="K291" s="3">
        <v>92</v>
      </c>
      <c r="L291" s="11">
        <f>jewels[[#This Row],[Unit Price]]/(1+40%)</f>
        <v>3184113.5714285718</v>
      </c>
      <c r="M291" s="11">
        <v>4457759</v>
      </c>
      <c r="N291" s="3">
        <v>10</v>
      </c>
      <c r="O291" s="11">
        <f>jewels[[#This Row],[Cost ]]*jewels[[#This Row],[Sales_Qty]]</f>
        <v>31841135.714285716</v>
      </c>
      <c r="P291" s="11">
        <v>44577590</v>
      </c>
      <c r="Q291" s="11">
        <f>jewels[[#This Row],[Total Sales Value]]-jewels[[#This Row],[Cost Per Unit]]</f>
        <v>12736454.285714284</v>
      </c>
      <c r="R291" s="13">
        <f>jewels[[#This Row],[Profit]]/jewels[[#This Row],[Cost Per Unit]]</f>
        <v>0.39999999999999991</v>
      </c>
    </row>
    <row r="292" spans="1:18" x14ac:dyDescent="0.25">
      <c r="A292" s="3">
        <v>291</v>
      </c>
      <c r="B292" s="4">
        <v>44415</v>
      </c>
      <c r="C292" s="3">
        <v>2021</v>
      </c>
      <c r="D292" s="3">
        <v>8</v>
      </c>
      <c r="E292" s="5" t="s">
        <v>51</v>
      </c>
      <c r="F292" s="3">
        <v>44</v>
      </c>
      <c r="G292" s="5" t="s">
        <v>59</v>
      </c>
      <c r="H292" s="5" t="s">
        <v>56</v>
      </c>
      <c r="I292" s="5" t="s">
        <v>27</v>
      </c>
      <c r="J292" s="5" t="s">
        <v>30</v>
      </c>
      <c r="K292" s="3">
        <v>78</v>
      </c>
      <c r="L292" s="11">
        <f>jewels[[#This Row],[Unit Price]]/(1+40%)</f>
        <v>5806745.7142857146</v>
      </c>
      <c r="M292" s="11">
        <v>8129444</v>
      </c>
      <c r="N292" s="3">
        <v>9</v>
      </c>
      <c r="O292" s="11">
        <f>jewels[[#This Row],[Cost ]]*jewels[[#This Row],[Sales_Qty]]</f>
        <v>52260711.428571433</v>
      </c>
      <c r="P292" s="11">
        <v>73164996</v>
      </c>
      <c r="Q292" s="11">
        <f>jewels[[#This Row],[Total Sales Value]]-jewels[[#This Row],[Cost Per Unit]]</f>
        <v>20904284.571428567</v>
      </c>
      <c r="R292" s="13">
        <f>jewels[[#This Row],[Profit]]/jewels[[#This Row],[Cost Per Unit]]</f>
        <v>0.39999999999999991</v>
      </c>
    </row>
    <row r="293" spans="1:18" x14ac:dyDescent="0.25">
      <c r="A293" s="3">
        <v>292</v>
      </c>
      <c r="B293" s="4">
        <v>44851</v>
      </c>
      <c r="C293" s="3">
        <v>2022</v>
      </c>
      <c r="D293" s="3">
        <v>10</v>
      </c>
      <c r="E293" s="5" t="s">
        <v>61</v>
      </c>
      <c r="F293" s="3">
        <v>16</v>
      </c>
      <c r="G293" s="5" t="s">
        <v>62</v>
      </c>
      <c r="H293" s="5" t="s">
        <v>56</v>
      </c>
      <c r="I293" s="5" t="s">
        <v>27</v>
      </c>
      <c r="J293" s="5" t="s">
        <v>44</v>
      </c>
      <c r="K293" s="3">
        <v>68</v>
      </c>
      <c r="L293" s="11">
        <f>jewels[[#This Row],[Unit Price]]/(1+40%)</f>
        <v>1992137.8571428573</v>
      </c>
      <c r="M293" s="11">
        <v>2788993</v>
      </c>
      <c r="N293" s="3">
        <v>4</v>
      </c>
      <c r="O293" s="11">
        <f>jewels[[#This Row],[Cost ]]*jewels[[#This Row],[Sales_Qty]]</f>
        <v>7968551.4285714291</v>
      </c>
      <c r="P293" s="11">
        <v>11155972</v>
      </c>
      <c r="Q293" s="11">
        <f>jewels[[#This Row],[Total Sales Value]]-jewels[[#This Row],[Cost Per Unit]]</f>
        <v>3187420.5714285709</v>
      </c>
      <c r="R293" s="13">
        <f>jewels[[#This Row],[Profit]]/jewels[[#This Row],[Cost Per Unit]]</f>
        <v>0.39999999999999991</v>
      </c>
    </row>
    <row r="294" spans="1:18" x14ac:dyDescent="0.25">
      <c r="A294" s="3">
        <v>293</v>
      </c>
      <c r="B294" s="4">
        <v>44144</v>
      </c>
      <c r="C294" s="3">
        <v>2020</v>
      </c>
      <c r="D294" s="3">
        <v>11</v>
      </c>
      <c r="E294" s="5" t="s">
        <v>58</v>
      </c>
      <c r="F294" s="3">
        <v>496</v>
      </c>
      <c r="G294" s="5" t="s">
        <v>20</v>
      </c>
      <c r="H294" s="5" t="s">
        <v>21</v>
      </c>
      <c r="I294" s="5" t="s">
        <v>27</v>
      </c>
      <c r="J294" s="5" t="s">
        <v>18</v>
      </c>
      <c r="K294" s="3">
        <v>90</v>
      </c>
      <c r="L294" s="11">
        <f>jewels[[#This Row],[Unit Price]]/(1+40%)</f>
        <v>4925557.8571428573</v>
      </c>
      <c r="M294" s="11">
        <v>6895781</v>
      </c>
      <c r="N294" s="3">
        <v>5</v>
      </c>
      <c r="O294" s="11">
        <f>jewels[[#This Row],[Cost ]]*jewels[[#This Row],[Sales_Qty]]</f>
        <v>24627789.285714287</v>
      </c>
      <c r="P294" s="11">
        <v>34478905</v>
      </c>
      <c r="Q294" s="11">
        <f>jewels[[#This Row],[Total Sales Value]]-jewels[[#This Row],[Cost Per Unit]]</f>
        <v>9851115.7142857127</v>
      </c>
      <c r="R294" s="13">
        <f>jewels[[#This Row],[Profit]]/jewels[[#This Row],[Cost Per Unit]]</f>
        <v>0.39999999999999991</v>
      </c>
    </row>
    <row r="295" spans="1:18" x14ac:dyDescent="0.25">
      <c r="A295" s="3">
        <v>294</v>
      </c>
      <c r="B295" s="4">
        <v>44846</v>
      </c>
      <c r="C295" s="3">
        <v>2022</v>
      </c>
      <c r="D295" s="3">
        <v>10</v>
      </c>
      <c r="E295" s="5" t="s">
        <v>61</v>
      </c>
      <c r="F295" s="3">
        <v>381</v>
      </c>
      <c r="G295" s="5" t="s">
        <v>65</v>
      </c>
      <c r="H295" s="5" t="s">
        <v>56</v>
      </c>
      <c r="I295" s="5" t="s">
        <v>39</v>
      </c>
      <c r="J295" s="5" t="s">
        <v>28</v>
      </c>
      <c r="K295" s="3">
        <v>100</v>
      </c>
      <c r="L295" s="11">
        <f>jewels[[#This Row],[Unit Price]]/(1+40%)</f>
        <v>1230335.7142857143</v>
      </c>
      <c r="M295" s="11">
        <v>1722470</v>
      </c>
      <c r="N295" s="3">
        <v>5</v>
      </c>
      <c r="O295" s="11">
        <f>jewels[[#This Row],[Cost ]]*jewels[[#This Row],[Sales_Qty]]</f>
        <v>6151678.5714285718</v>
      </c>
      <c r="P295" s="11">
        <v>8612350</v>
      </c>
      <c r="Q295" s="11">
        <f>jewels[[#This Row],[Total Sales Value]]-jewels[[#This Row],[Cost Per Unit]]</f>
        <v>2460671.4285714282</v>
      </c>
      <c r="R295" s="13">
        <f>jewels[[#This Row],[Profit]]/jewels[[#This Row],[Cost Per Unit]]</f>
        <v>0.39999999999999991</v>
      </c>
    </row>
    <row r="296" spans="1:18" x14ac:dyDescent="0.25">
      <c r="A296" s="3">
        <v>295</v>
      </c>
      <c r="B296" s="4">
        <v>45251</v>
      </c>
      <c r="C296" s="3">
        <v>2023</v>
      </c>
      <c r="D296" s="3">
        <v>11</v>
      </c>
      <c r="E296" s="5" t="s">
        <v>58</v>
      </c>
      <c r="F296" s="3">
        <v>239</v>
      </c>
      <c r="G296" s="5" t="s">
        <v>31</v>
      </c>
      <c r="H296" s="5" t="s">
        <v>26</v>
      </c>
      <c r="I296" s="5" t="s">
        <v>40</v>
      </c>
      <c r="J296" s="5" t="s">
        <v>28</v>
      </c>
      <c r="K296" s="3">
        <v>79</v>
      </c>
      <c r="L296" s="11">
        <f>jewels[[#This Row],[Unit Price]]/(1+40%)</f>
        <v>3223372.8571428573</v>
      </c>
      <c r="M296" s="11">
        <v>4512722</v>
      </c>
      <c r="N296" s="3">
        <v>2</v>
      </c>
      <c r="O296" s="11">
        <f>jewels[[#This Row],[Cost ]]*jewels[[#This Row],[Sales_Qty]]</f>
        <v>6446745.7142857146</v>
      </c>
      <c r="P296" s="11">
        <v>9025444</v>
      </c>
      <c r="Q296" s="11">
        <f>jewels[[#This Row],[Total Sales Value]]-jewels[[#This Row],[Cost Per Unit]]</f>
        <v>2578698.2857142854</v>
      </c>
      <c r="R296" s="13">
        <f>jewels[[#This Row],[Profit]]/jewels[[#This Row],[Cost Per Unit]]</f>
        <v>0.39999999999999997</v>
      </c>
    </row>
    <row r="297" spans="1:18" x14ac:dyDescent="0.25">
      <c r="A297" s="3">
        <v>296</v>
      </c>
      <c r="B297" s="4">
        <v>44211</v>
      </c>
      <c r="C297" s="3">
        <v>2021</v>
      </c>
      <c r="D297" s="3">
        <v>1</v>
      </c>
      <c r="E297" s="5" t="s">
        <v>41</v>
      </c>
      <c r="F297" s="3">
        <v>10</v>
      </c>
      <c r="G297" s="5" t="s">
        <v>34</v>
      </c>
      <c r="H297" s="5" t="s">
        <v>35</v>
      </c>
      <c r="I297" s="5" t="s">
        <v>22</v>
      </c>
      <c r="J297" s="5" t="s">
        <v>47</v>
      </c>
      <c r="K297" s="3">
        <v>73</v>
      </c>
      <c r="L297" s="11">
        <f>jewels[[#This Row],[Unit Price]]/(1+40%)</f>
        <v>4341442.8571428573</v>
      </c>
      <c r="M297" s="11">
        <v>6078020</v>
      </c>
      <c r="N297" s="3">
        <v>5</v>
      </c>
      <c r="O297" s="11">
        <f>jewels[[#This Row],[Cost ]]*jewels[[#This Row],[Sales_Qty]]</f>
        <v>21707214.285714287</v>
      </c>
      <c r="P297" s="11">
        <v>30390100</v>
      </c>
      <c r="Q297" s="11">
        <f>jewels[[#This Row],[Total Sales Value]]-jewels[[#This Row],[Cost Per Unit]]</f>
        <v>8682885.7142857127</v>
      </c>
      <c r="R297" s="13">
        <f>jewels[[#This Row],[Profit]]/jewels[[#This Row],[Cost Per Unit]]</f>
        <v>0.39999999999999991</v>
      </c>
    </row>
    <row r="298" spans="1:18" x14ac:dyDescent="0.25">
      <c r="A298" s="3">
        <v>297</v>
      </c>
      <c r="B298" s="4">
        <v>45286</v>
      </c>
      <c r="C298" s="3">
        <v>2023</v>
      </c>
      <c r="D298" s="3">
        <v>12</v>
      </c>
      <c r="E298" s="5" t="s">
        <v>37</v>
      </c>
      <c r="F298" s="3">
        <v>67</v>
      </c>
      <c r="G298" s="5" t="s">
        <v>15</v>
      </c>
      <c r="H298" s="5" t="s">
        <v>16</v>
      </c>
      <c r="I298" s="5" t="s">
        <v>29</v>
      </c>
      <c r="J298" s="5" t="s">
        <v>45</v>
      </c>
      <c r="K298" s="3">
        <v>93</v>
      </c>
      <c r="L298" s="11">
        <f>jewels[[#This Row],[Unit Price]]/(1+40%)</f>
        <v>2807403.5714285718</v>
      </c>
      <c r="M298" s="11">
        <v>3930365</v>
      </c>
      <c r="N298" s="3">
        <v>1</v>
      </c>
      <c r="O298" s="11">
        <f>jewels[[#This Row],[Cost ]]*jewels[[#This Row],[Sales_Qty]]</f>
        <v>2807403.5714285718</v>
      </c>
      <c r="P298" s="11">
        <v>3930365</v>
      </c>
      <c r="Q298" s="11">
        <f>jewels[[#This Row],[Total Sales Value]]-jewels[[#This Row],[Cost Per Unit]]</f>
        <v>1122961.4285714282</v>
      </c>
      <c r="R298" s="13">
        <f>jewels[[#This Row],[Profit]]/jewels[[#This Row],[Cost Per Unit]]</f>
        <v>0.3999999999999998</v>
      </c>
    </row>
    <row r="299" spans="1:18" x14ac:dyDescent="0.25">
      <c r="A299" s="3">
        <v>298</v>
      </c>
      <c r="B299" s="4">
        <v>44696</v>
      </c>
      <c r="C299" s="3">
        <v>2022</v>
      </c>
      <c r="D299" s="3">
        <v>5</v>
      </c>
      <c r="E299" s="5" t="s">
        <v>53</v>
      </c>
      <c r="F299" s="3">
        <v>491</v>
      </c>
      <c r="G299" s="5" t="s">
        <v>55</v>
      </c>
      <c r="H299" s="5" t="s">
        <v>56</v>
      </c>
      <c r="I299" s="5" t="s">
        <v>40</v>
      </c>
      <c r="J299" s="5" t="s">
        <v>30</v>
      </c>
      <c r="K299" s="3">
        <v>89</v>
      </c>
      <c r="L299" s="11">
        <f>jewels[[#This Row],[Unit Price]]/(1+40%)</f>
        <v>4265330.7142857146</v>
      </c>
      <c r="M299" s="11">
        <v>5971463</v>
      </c>
      <c r="N299" s="3">
        <v>1</v>
      </c>
      <c r="O299" s="11">
        <f>jewels[[#This Row],[Cost ]]*jewels[[#This Row],[Sales_Qty]]</f>
        <v>4265330.7142857146</v>
      </c>
      <c r="P299" s="11">
        <v>5971463</v>
      </c>
      <c r="Q299" s="11">
        <f>jewels[[#This Row],[Total Sales Value]]-jewels[[#This Row],[Cost Per Unit]]</f>
        <v>1706132.2857142854</v>
      </c>
      <c r="R299" s="13">
        <f>jewels[[#This Row],[Profit]]/jewels[[#This Row],[Cost Per Unit]]</f>
        <v>0.39999999999999991</v>
      </c>
    </row>
    <row r="300" spans="1:18" x14ac:dyDescent="0.25">
      <c r="A300" s="3">
        <v>299</v>
      </c>
      <c r="B300" s="4">
        <v>44507</v>
      </c>
      <c r="C300" s="3">
        <v>2021</v>
      </c>
      <c r="D300" s="3">
        <v>11</v>
      </c>
      <c r="E300" s="5" t="s">
        <v>58</v>
      </c>
      <c r="F300" s="3">
        <v>268</v>
      </c>
      <c r="G300" s="5" t="s">
        <v>25</v>
      </c>
      <c r="H300" s="5" t="s">
        <v>26</v>
      </c>
      <c r="I300" s="5" t="s">
        <v>27</v>
      </c>
      <c r="J300" s="5" t="s">
        <v>45</v>
      </c>
      <c r="K300" s="3">
        <v>58</v>
      </c>
      <c r="L300" s="11">
        <f>jewels[[#This Row],[Unit Price]]/(1+40%)</f>
        <v>5371667.8571428573</v>
      </c>
      <c r="M300" s="11">
        <v>7520335</v>
      </c>
      <c r="N300" s="3">
        <v>2</v>
      </c>
      <c r="O300" s="11">
        <f>jewels[[#This Row],[Cost ]]*jewels[[#This Row],[Sales_Qty]]</f>
        <v>10743335.714285715</v>
      </c>
      <c r="P300" s="11">
        <v>15040670</v>
      </c>
      <c r="Q300" s="11">
        <f>jewels[[#This Row],[Total Sales Value]]-jewels[[#This Row],[Cost Per Unit]]</f>
        <v>4297334.2857142854</v>
      </c>
      <c r="R300" s="13">
        <f>jewels[[#This Row],[Profit]]/jewels[[#This Row],[Cost Per Unit]]</f>
        <v>0.39999999999999997</v>
      </c>
    </row>
    <row r="301" spans="1:18" x14ac:dyDescent="0.25">
      <c r="A301" s="3">
        <v>300</v>
      </c>
      <c r="B301" s="4">
        <v>44921</v>
      </c>
      <c r="C301" s="3">
        <v>2022</v>
      </c>
      <c r="D301" s="3">
        <v>12</v>
      </c>
      <c r="E301" s="5" t="s">
        <v>37</v>
      </c>
      <c r="F301" s="3">
        <v>454</v>
      </c>
      <c r="G301" s="5" t="s">
        <v>25</v>
      </c>
      <c r="H301" s="5" t="s">
        <v>26</v>
      </c>
      <c r="I301" s="5" t="s">
        <v>27</v>
      </c>
      <c r="J301" s="5" t="s">
        <v>28</v>
      </c>
      <c r="K301" s="3">
        <v>72</v>
      </c>
      <c r="L301" s="11">
        <f>jewels[[#This Row],[Unit Price]]/(1+40%)</f>
        <v>5881883.5714285718</v>
      </c>
      <c r="M301" s="11">
        <v>8234637</v>
      </c>
      <c r="N301" s="3">
        <v>2</v>
      </c>
      <c r="O301" s="11">
        <f>jewels[[#This Row],[Cost ]]*jewels[[#This Row],[Sales_Qty]]</f>
        <v>11763767.142857144</v>
      </c>
      <c r="P301" s="11">
        <v>16469274</v>
      </c>
      <c r="Q301" s="11">
        <f>jewels[[#This Row],[Total Sales Value]]-jewels[[#This Row],[Cost Per Unit]]</f>
        <v>4705506.8571428563</v>
      </c>
      <c r="R301" s="13">
        <f>jewels[[#This Row],[Profit]]/jewels[[#This Row],[Cost Per Unit]]</f>
        <v>0.39999999999999991</v>
      </c>
    </row>
    <row r="302" spans="1:18" x14ac:dyDescent="0.25">
      <c r="A302" s="3">
        <v>301</v>
      </c>
      <c r="B302" s="4">
        <v>45222</v>
      </c>
      <c r="C302" s="3">
        <v>2023</v>
      </c>
      <c r="D302" s="3">
        <v>10</v>
      </c>
      <c r="E302" s="5" t="s">
        <v>61</v>
      </c>
      <c r="F302" s="3">
        <v>217</v>
      </c>
      <c r="G302" s="5" t="s">
        <v>38</v>
      </c>
      <c r="H302" s="5" t="s">
        <v>35</v>
      </c>
      <c r="I302" s="5" t="s">
        <v>22</v>
      </c>
      <c r="J302" s="5" t="s">
        <v>23</v>
      </c>
      <c r="K302" s="3">
        <v>65</v>
      </c>
      <c r="L302" s="11">
        <f>jewels[[#This Row],[Unit Price]]/(1+40%)</f>
        <v>5462877.1428571437</v>
      </c>
      <c r="M302" s="11">
        <v>7648028</v>
      </c>
      <c r="N302" s="3">
        <v>2</v>
      </c>
      <c r="O302" s="11">
        <f>jewels[[#This Row],[Cost ]]*jewels[[#This Row],[Sales_Qty]]</f>
        <v>10925754.285714287</v>
      </c>
      <c r="P302" s="11">
        <v>15296056</v>
      </c>
      <c r="Q302" s="11">
        <f>jewels[[#This Row],[Total Sales Value]]-jewels[[#This Row],[Cost Per Unit]]</f>
        <v>4370301.7142857127</v>
      </c>
      <c r="R302" s="13">
        <f>jewels[[#This Row],[Profit]]/jewels[[#This Row],[Cost Per Unit]]</f>
        <v>0.3999999999999998</v>
      </c>
    </row>
    <row r="303" spans="1:18" x14ac:dyDescent="0.25">
      <c r="A303" s="3">
        <v>302</v>
      </c>
      <c r="B303" s="4">
        <v>45307</v>
      </c>
      <c r="C303" s="3">
        <v>2024</v>
      </c>
      <c r="D303" s="3">
        <v>1</v>
      </c>
      <c r="E303" s="5" t="s">
        <v>41</v>
      </c>
      <c r="F303" s="3">
        <v>149</v>
      </c>
      <c r="G303" s="5" t="s">
        <v>38</v>
      </c>
      <c r="H303" s="5" t="s">
        <v>35</v>
      </c>
      <c r="I303" s="5" t="s">
        <v>40</v>
      </c>
      <c r="J303" s="5" t="s">
        <v>28</v>
      </c>
      <c r="K303" s="3">
        <v>92</v>
      </c>
      <c r="L303" s="11">
        <f>jewels[[#This Row],[Unit Price]]/(1+40%)</f>
        <v>6866218.5714285718</v>
      </c>
      <c r="M303" s="11">
        <v>9612706</v>
      </c>
      <c r="N303" s="3">
        <v>2</v>
      </c>
      <c r="O303" s="11">
        <f>jewels[[#This Row],[Cost ]]*jewels[[#This Row],[Sales_Qty]]</f>
        <v>13732437.142857144</v>
      </c>
      <c r="P303" s="11">
        <v>19225412</v>
      </c>
      <c r="Q303" s="11">
        <f>jewels[[#This Row],[Total Sales Value]]-jewels[[#This Row],[Cost Per Unit]]</f>
        <v>5492974.8571428563</v>
      </c>
      <c r="R303" s="13">
        <f>jewels[[#This Row],[Profit]]/jewels[[#This Row],[Cost Per Unit]]</f>
        <v>0.39999999999999991</v>
      </c>
    </row>
    <row r="304" spans="1:18" x14ac:dyDescent="0.25">
      <c r="A304" s="3">
        <v>303</v>
      </c>
      <c r="B304" s="4">
        <v>44173</v>
      </c>
      <c r="C304" s="3">
        <v>2020</v>
      </c>
      <c r="D304" s="3">
        <v>12</v>
      </c>
      <c r="E304" s="5" t="s">
        <v>37</v>
      </c>
      <c r="F304" s="3">
        <v>201</v>
      </c>
      <c r="G304" s="5" t="s">
        <v>25</v>
      </c>
      <c r="H304" s="5" t="s">
        <v>26</v>
      </c>
      <c r="I304" s="5" t="s">
        <v>39</v>
      </c>
      <c r="J304" s="5" t="s">
        <v>23</v>
      </c>
      <c r="K304" s="3">
        <v>64</v>
      </c>
      <c r="L304" s="11">
        <f>jewels[[#This Row],[Unit Price]]/(1+40%)</f>
        <v>2752089.2857142859</v>
      </c>
      <c r="M304" s="11">
        <v>3852925</v>
      </c>
      <c r="N304" s="3">
        <v>4</v>
      </c>
      <c r="O304" s="11">
        <f>jewels[[#This Row],[Cost ]]*jewels[[#This Row],[Sales_Qty]]</f>
        <v>11008357.142857144</v>
      </c>
      <c r="P304" s="11">
        <v>15411700</v>
      </c>
      <c r="Q304" s="11">
        <f>jewels[[#This Row],[Total Sales Value]]-jewels[[#This Row],[Cost Per Unit]]</f>
        <v>4403342.8571428563</v>
      </c>
      <c r="R304" s="13">
        <f>jewels[[#This Row],[Profit]]/jewels[[#This Row],[Cost Per Unit]]</f>
        <v>0.39999999999999991</v>
      </c>
    </row>
    <row r="305" spans="1:18" x14ac:dyDescent="0.25">
      <c r="A305" s="3">
        <v>304</v>
      </c>
      <c r="B305" s="4">
        <v>44513</v>
      </c>
      <c r="C305" s="3">
        <v>2021</v>
      </c>
      <c r="D305" s="3">
        <v>11</v>
      </c>
      <c r="E305" s="5" t="s">
        <v>58</v>
      </c>
      <c r="F305" s="3">
        <v>435</v>
      </c>
      <c r="G305" s="5" t="s">
        <v>55</v>
      </c>
      <c r="H305" s="5" t="s">
        <v>56</v>
      </c>
      <c r="I305" s="5" t="s">
        <v>27</v>
      </c>
      <c r="J305" s="5" t="s">
        <v>45</v>
      </c>
      <c r="K305" s="3">
        <v>96</v>
      </c>
      <c r="L305" s="11">
        <f>jewels[[#This Row],[Unit Price]]/(1+40%)</f>
        <v>4148560.7142857146</v>
      </c>
      <c r="M305" s="11">
        <v>5807985</v>
      </c>
      <c r="N305" s="3">
        <v>7</v>
      </c>
      <c r="O305" s="11">
        <f>jewels[[#This Row],[Cost ]]*jewels[[#This Row],[Sales_Qty]]</f>
        <v>29039925</v>
      </c>
      <c r="P305" s="11">
        <v>40655895</v>
      </c>
      <c r="Q305" s="11">
        <f>jewels[[#This Row],[Total Sales Value]]-jewels[[#This Row],[Cost Per Unit]]</f>
        <v>11615970</v>
      </c>
      <c r="R305" s="13">
        <f>jewels[[#This Row],[Profit]]/jewels[[#This Row],[Cost Per Unit]]</f>
        <v>0.4</v>
      </c>
    </row>
    <row r="306" spans="1:18" x14ac:dyDescent="0.25">
      <c r="A306" s="3">
        <v>305</v>
      </c>
      <c r="B306" s="4">
        <v>44689</v>
      </c>
      <c r="C306" s="3">
        <v>2022</v>
      </c>
      <c r="D306" s="3">
        <v>5</v>
      </c>
      <c r="E306" s="5" t="s">
        <v>53</v>
      </c>
      <c r="F306" s="3">
        <v>348</v>
      </c>
      <c r="G306" s="5" t="s">
        <v>38</v>
      </c>
      <c r="H306" s="5" t="s">
        <v>35</v>
      </c>
      <c r="I306" s="5" t="s">
        <v>27</v>
      </c>
      <c r="J306" s="5" t="s">
        <v>32</v>
      </c>
      <c r="K306" s="3">
        <v>82</v>
      </c>
      <c r="L306" s="11">
        <f>jewels[[#This Row],[Unit Price]]/(1+40%)</f>
        <v>6603922.8571428573</v>
      </c>
      <c r="M306" s="11">
        <v>9245492</v>
      </c>
      <c r="N306" s="3">
        <v>10</v>
      </c>
      <c r="O306" s="11">
        <f>jewels[[#This Row],[Cost ]]*jewels[[#This Row],[Sales_Qty]]</f>
        <v>66039228.571428575</v>
      </c>
      <c r="P306" s="11">
        <v>92454920</v>
      </c>
      <c r="Q306" s="11">
        <f>jewels[[#This Row],[Total Sales Value]]-jewels[[#This Row],[Cost Per Unit]]</f>
        <v>26415691.428571425</v>
      </c>
      <c r="R306" s="13">
        <f>jewels[[#This Row],[Profit]]/jewels[[#This Row],[Cost Per Unit]]</f>
        <v>0.39999999999999991</v>
      </c>
    </row>
    <row r="307" spans="1:18" x14ac:dyDescent="0.25">
      <c r="A307" s="3">
        <v>306</v>
      </c>
      <c r="B307" s="4">
        <v>44750</v>
      </c>
      <c r="C307" s="3">
        <v>2022</v>
      </c>
      <c r="D307" s="3">
        <v>7</v>
      </c>
      <c r="E307" s="5" t="s">
        <v>49</v>
      </c>
      <c r="F307" s="3">
        <v>135</v>
      </c>
      <c r="G307" s="5" t="s">
        <v>48</v>
      </c>
      <c r="H307" s="5" t="s">
        <v>16</v>
      </c>
      <c r="I307" s="5" t="s">
        <v>29</v>
      </c>
      <c r="J307" s="5" t="s">
        <v>44</v>
      </c>
      <c r="K307" s="3">
        <v>73</v>
      </c>
      <c r="L307" s="11">
        <f>jewels[[#This Row],[Unit Price]]/(1+40%)</f>
        <v>5556728.5714285718</v>
      </c>
      <c r="M307" s="11">
        <v>7779420</v>
      </c>
      <c r="N307" s="3">
        <v>7</v>
      </c>
      <c r="O307" s="11">
        <f>jewels[[#This Row],[Cost ]]*jewels[[#This Row],[Sales_Qty]]</f>
        <v>38897100</v>
      </c>
      <c r="P307" s="11">
        <v>54455940</v>
      </c>
      <c r="Q307" s="11">
        <f>jewels[[#This Row],[Total Sales Value]]-jewels[[#This Row],[Cost Per Unit]]</f>
        <v>15558840</v>
      </c>
      <c r="R307" s="13">
        <f>jewels[[#This Row],[Profit]]/jewels[[#This Row],[Cost Per Unit]]</f>
        <v>0.4</v>
      </c>
    </row>
    <row r="308" spans="1:18" x14ac:dyDescent="0.25">
      <c r="A308" s="3">
        <v>307</v>
      </c>
      <c r="B308" s="4">
        <v>44305</v>
      </c>
      <c r="C308" s="3">
        <v>2021</v>
      </c>
      <c r="D308" s="3">
        <v>4</v>
      </c>
      <c r="E308" s="5" t="s">
        <v>24</v>
      </c>
      <c r="F308" s="3">
        <v>71</v>
      </c>
      <c r="G308" s="5" t="s">
        <v>34</v>
      </c>
      <c r="H308" s="5" t="s">
        <v>35</v>
      </c>
      <c r="I308" s="5" t="s">
        <v>17</v>
      </c>
      <c r="J308" s="5" t="s">
        <v>28</v>
      </c>
      <c r="K308" s="3">
        <v>78</v>
      </c>
      <c r="L308" s="11">
        <f>jewels[[#This Row],[Unit Price]]/(1+40%)</f>
        <v>4279092.8571428573</v>
      </c>
      <c r="M308" s="11">
        <v>5990730</v>
      </c>
      <c r="N308" s="3">
        <v>2</v>
      </c>
      <c r="O308" s="11">
        <f>jewels[[#This Row],[Cost ]]*jewels[[#This Row],[Sales_Qty]]</f>
        <v>8558185.7142857146</v>
      </c>
      <c r="P308" s="11">
        <v>11981460</v>
      </c>
      <c r="Q308" s="11">
        <f>jewels[[#This Row],[Total Sales Value]]-jewels[[#This Row],[Cost Per Unit]]</f>
        <v>3423274.2857142854</v>
      </c>
      <c r="R308" s="13">
        <f>jewels[[#This Row],[Profit]]/jewels[[#This Row],[Cost Per Unit]]</f>
        <v>0.39999999999999997</v>
      </c>
    </row>
    <row r="309" spans="1:18" x14ac:dyDescent="0.25">
      <c r="A309" s="3">
        <v>308</v>
      </c>
      <c r="B309" s="4">
        <v>43993</v>
      </c>
      <c r="C309" s="3">
        <v>2020</v>
      </c>
      <c r="D309" s="3">
        <v>6</v>
      </c>
      <c r="E309" s="5" t="s">
        <v>14</v>
      </c>
      <c r="F309" s="3">
        <v>273</v>
      </c>
      <c r="G309" s="5" t="s">
        <v>15</v>
      </c>
      <c r="H309" s="5" t="s">
        <v>16</v>
      </c>
      <c r="I309" s="5" t="s">
        <v>17</v>
      </c>
      <c r="J309" s="5" t="s">
        <v>30</v>
      </c>
      <c r="K309" s="3">
        <v>93</v>
      </c>
      <c r="L309" s="11">
        <f>jewels[[#This Row],[Unit Price]]/(1+40%)</f>
        <v>1408119.2857142859</v>
      </c>
      <c r="M309" s="11">
        <v>1971367</v>
      </c>
      <c r="N309" s="3">
        <v>4</v>
      </c>
      <c r="O309" s="11">
        <f>jewels[[#This Row],[Cost ]]*jewels[[#This Row],[Sales_Qty]]</f>
        <v>5632477.1428571437</v>
      </c>
      <c r="P309" s="11">
        <v>7885468</v>
      </c>
      <c r="Q309" s="11">
        <f>jewels[[#This Row],[Total Sales Value]]-jewels[[#This Row],[Cost Per Unit]]</f>
        <v>2252990.8571428563</v>
      </c>
      <c r="R309" s="13">
        <f>jewels[[#This Row],[Profit]]/jewels[[#This Row],[Cost Per Unit]]</f>
        <v>0.3999999999999998</v>
      </c>
    </row>
    <row r="310" spans="1:18" x14ac:dyDescent="0.25">
      <c r="A310" s="3">
        <v>309</v>
      </c>
      <c r="B310" s="4">
        <v>44195</v>
      </c>
      <c r="C310" s="3">
        <v>2020</v>
      </c>
      <c r="D310" s="3">
        <v>12</v>
      </c>
      <c r="E310" s="5" t="s">
        <v>37</v>
      </c>
      <c r="F310" s="3">
        <v>319</v>
      </c>
      <c r="G310" s="5" t="s">
        <v>38</v>
      </c>
      <c r="H310" s="5" t="s">
        <v>35</v>
      </c>
      <c r="I310" s="5" t="s">
        <v>29</v>
      </c>
      <c r="J310" s="5" t="s">
        <v>45</v>
      </c>
      <c r="K310" s="3">
        <v>65</v>
      </c>
      <c r="L310" s="11">
        <f>jewels[[#This Row],[Unit Price]]/(1+40%)</f>
        <v>7005786.4285714291</v>
      </c>
      <c r="M310" s="11">
        <v>9808101</v>
      </c>
      <c r="N310" s="3">
        <v>5</v>
      </c>
      <c r="O310" s="11">
        <f>jewels[[#This Row],[Cost ]]*jewels[[#This Row],[Sales_Qty]]</f>
        <v>35028932.142857149</v>
      </c>
      <c r="P310" s="11">
        <v>49040505</v>
      </c>
      <c r="Q310" s="11">
        <f>jewels[[#This Row],[Total Sales Value]]-jewels[[#This Row],[Cost Per Unit]]</f>
        <v>14011572.857142851</v>
      </c>
      <c r="R310" s="13">
        <f>jewels[[#This Row],[Profit]]/jewels[[#This Row],[Cost Per Unit]]</f>
        <v>0.39999999999999974</v>
      </c>
    </row>
    <row r="311" spans="1:18" x14ac:dyDescent="0.25">
      <c r="A311" s="3">
        <v>310</v>
      </c>
      <c r="B311" s="4">
        <v>44486</v>
      </c>
      <c r="C311" s="3">
        <v>2021</v>
      </c>
      <c r="D311" s="3">
        <v>10</v>
      </c>
      <c r="E311" s="5" t="s">
        <v>61</v>
      </c>
      <c r="F311" s="3">
        <v>90</v>
      </c>
      <c r="G311" s="5" t="s">
        <v>38</v>
      </c>
      <c r="H311" s="5" t="s">
        <v>35</v>
      </c>
      <c r="I311" s="5" t="s">
        <v>27</v>
      </c>
      <c r="J311" s="5" t="s">
        <v>23</v>
      </c>
      <c r="K311" s="3">
        <v>89</v>
      </c>
      <c r="L311" s="11">
        <f>jewels[[#This Row],[Unit Price]]/(1+40%)</f>
        <v>5995702.1428571437</v>
      </c>
      <c r="M311" s="11">
        <v>8393983</v>
      </c>
      <c r="N311" s="3">
        <v>9</v>
      </c>
      <c r="O311" s="11">
        <f>jewels[[#This Row],[Cost ]]*jewels[[#This Row],[Sales_Qty]]</f>
        <v>53961319.285714291</v>
      </c>
      <c r="P311" s="11">
        <v>75545847</v>
      </c>
      <c r="Q311" s="11">
        <f>jewels[[#This Row],[Total Sales Value]]-jewels[[#This Row],[Cost Per Unit]]</f>
        <v>21584527.714285709</v>
      </c>
      <c r="R311" s="13">
        <f>jewels[[#This Row],[Profit]]/jewels[[#This Row],[Cost Per Unit]]</f>
        <v>0.39999999999999986</v>
      </c>
    </row>
    <row r="312" spans="1:18" x14ac:dyDescent="0.25">
      <c r="A312" s="3">
        <v>311</v>
      </c>
      <c r="B312" s="4">
        <v>44386</v>
      </c>
      <c r="C312" s="3">
        <v>2021</v>
      </c>
      <c r="D312" s="3">
        <v>7</v>
      </c>
      <c r="E312" s="5" t="s">
        <v>49</v>
      </c>
      <c r="F312" s="3">
        <v>127</v>
      </c>
      <c r="G312" s="5" t="s">
        <v>34</v>
      </c>
      <c r="H312" s="5" t="s">
        <v>35</v>
      </c>
      <c r="I312" s="5" t="s">
        <v>17</v>
      </c>
      <c r="J312" s="5" t="s">
        <v>47</v>
      </c>
      <c r="K312" s="3">
        <v>77</v>
      </c>
      <c r="L312" s="11">
        <f>jewels[[#This Row],[Unit Price]]/(1+40%)</f>
        <v>4178380.7142857146</v>
      </c>
      <c r="M312" s="11">
        <v>5849733</v>
      </c>
      <c r="N312" s="3">
        <v>7</v>
      </c>
      <c r="O312" s="11">
        <f>jewels[[#This Row],[Cost ]]*jewels[[#This Row],[Sales_Qty]]</f>
        <v>29248665</v>
      </c>
      <c r="P312" s="11">
        <v>40948131</v>
      </c>
      <c r="Q312" s="11">
        <f>jewels[[#This Row],[Total Sales Value]]-jewels[[#This Row],[Cost Per Unit]]</f>
        <v>11699466</v>
      </c>
      <c r="R312" s="13">
        <f>jewels[[#This Row],[Profit]]/jewels[[#This Row],[Cost Per Unit]]</f>
        <v>0.4</v>
      </c>
    </row>
    <row r="313" spans="1:18" x14ac:dyDescent="0.25">
      <c r="A313" s="3">
        <v>312</v>
      </c>
      <c r="B313" s="4">
        <v>44906</v>
      </c>
      <c r="C313" s="3">
        <v>2022</v>
      </c>
      <c r="D313" s="3">
        <v>12</v>
      </c>
      <c r="E313" s="5" t="s">
        <v>37</v>
      </c>
      <c r="F313" s="3">
        <v>32</v>
      </c>
      <c r="G313" s="5" t="s">
        <v>57</v>
      </c>
      <c r="H313" s="5" t="s">
        <v>35</v>
      </c>
      <c r="I313" s="5" t="s">
        <v>40</v>
      </c>
      <c r="J313" s="5" t="s">
        <v>23</v>
      </c>
      <c r="K313" s="3">
        <v>70</v>
      </c>
      <c r="L313" s="11">
        <f>jewels[[#This Row],[Unit Price]]/(1+40%)</f>
        <v>403021.42857142858</v>
      </c>
      <c r="M313" s="11">
        <v>564230</v>
      </c>
      <c r="N313" s="3">
        <v>10</v>
      </c>
      <c r="O313" s="11">
        <f>jewels[[#This Row],[Cost ]]*jewels[[#This Row],[Sales_Qty]]</f>
        <v>4030214.2857142859</v>
      </c>
      <c r="P313" s="11">
        <v>5642300</v>
      </c>
      <c r="Q313" s="11">
        <f>jewels[[#This Row],[Total Sales Value]]-jewels[[#This Row],[Cost Per Unit]]</f>
        <v>1612085.7142857141</v>
      </c>
      <c r="R313" s="13">
        <f>jewels[[#This Row],[Profit]]/jewels[[#This Row],[Cost Per Unit]]</f>
        <v>0.39999999999999991</v>
      </c>
    </row>
    <row r="314" spans="1:18" x14ac:dyDescent="0.25">
      <c r="A314" s="3">
        <v>313</v>
      </c>
      <c r="B314" s="4">
        <v>44432</v>
      </c>
      <c r="C314" s="3">
        <v>2021</v>
      </c>
      <c r="D314" s="3">
        <v>8</v>
      </c>
      <c r="E314" s="5" t="s">
        <v>51</v>
      </c>
      <c r="F314" s="3">
        <v>136</v>
      </c>
      <c r="G314" s="5" t="s">
        <v>62</v>
      </c>
      <c r="H314" s="5" t="s">
        <v>56</v>
      </c>
      <c r="I314" s="5" t="s">
        <v>40</v>
      </c>
      <c r="J314" s="5" t="s">
        <v>45</v>
      </c>
      <c r="K314" s="3">
        <v>87</v>
      </c>
      <c r="L314" s="11">
        <f>jewels[[#This Row],[Unit Price]]/(1+40%)</f>
        <v>2937071.4285714286</v>
      </c>
      <c r="M314" s="11">
        <v>4111900</v>
      </c>
      <c r="N314" s="3">
        <v>10</v>
      </c>
      <c r="O314" s="11">
        <f>jewels[[#This Row],[Cost ]]*jewels[[#This Row],[Sales_Qty]]</f>
        <v>29370714.285714287</v>
      </c>
      <c r="P314" s="11">
        <v>41119000</v>
      </c>
      <c r="Q314" s="11">
        <f>jewels[[#This Row],[Total Sales Value]]-jewels[[#This Row],[Cost Per Unit]]</f>
        <v>11748285.714285713</v>
      </c>
      <c r="R314" s="13">
        <f>jewels[[#This Row],[Profit]]/jewels[[#This Row],[Cost Per Unit]]</f>
        <v>0.39999999999999991</v>
      </c>
    </row>
    <row r="315" spans="1:18" x14ac:dyDescent="0.25">
      <c r="A315" s="3">
        <v>314</v>
      </c>
      <c r="B315" s="4">
        <v>44100</v>
      </c>
      <c r="C315" s="3">
        <v>2020</v>
      </c>
      <c r="D315" s="3">
        <v>9</v>
      </c>
      <c r="E315" s="5" t="s">
        <v>33</v>
      </c>
      <c r="F315" s="3">
        <v>204</v>
      </c>
      <c r="G315" s="5" t="s">
        <v>38</v>
      </c>
      <c r="H315" s="5" t="s">
        <v>35</v>
      </c>
      <c r="I315" s="5" t="s">
        <v>39</v>
      </c>
      <c r="J315" s="5" t="s">
        <v>28</v>
      </c>
      <c r="K315" s="3">
        <v>55</v>
      </c>
      <c r="L315" s="11">
        <f>jewels[[#This Row],[Unit Price]]/(1+40%)</f>
        <v>6609927.1428571437</v>
      </c>
      <c r="M315" s="11">
        <v>9253898</v>
      </c>
      <c r="N315" s="3">
        <v>7</v>
      </c>
      <c r="O315" s="11">
        <f>jewels[[#This Row],[Cost ]]*jewels[[#This Row],[Sales_Qty]]</f>
        <v>46269490.000000007</v>
      </c>
      <c r="P315" s="11">
        <v>64777286</v>
      </c>
      <c r="Q315" s="11">
        <f>jewels[[#This Row],[Total Sales Value]]-jewels[[#This Row],[Cost Per Unit]]</f>
        <v>18507795.999999993</v>
      </c>
      <c r="R315" s="13">
        <f>jewels[[#This Row],[Profit]]/jewels[[#This Row],[Cost Per Unit]]</f>
        <v>0.3999999999999998</v>
      </c>
    </row>
    <row r="316" spans="1:18" x14ac:dyDescent="0.25">
      <c r="A316" s="3">
        <v>315</v>
      </c>
      <c r="B316" s="4">
        <v>45352</v>
      </c>
      <c r="C316" s="3">
        <v>2024</v>
      </c>
      <c r="D316" s="3">
        <v>3</v>
      </c>
      <c r="E316" s="5" t="s">
        <v>43</v>
      </c>
      <c r="F316" s="3">
        <v>320</v>
      </c>
      <c r="G316" s="5" t="s">
        <v>46</v>
      </c>
      <c r="H316" s="5" t="s">
        <v>35</v>
      </c>
      <c r="I316" s="5" t="s">
        <v>22</v>
      </c>
      <c r="J316" s="5" t="s">
        <v>47</v>
      </c>
      <c r="K316" s="3">
        <v>87</v>
      </c>
      <c r="L316" s="11">
        <f>jewels[[#This Row],[Unit Price]]/(1+40%)</f>
        <v>2049374.2857142859</v>
      </c>
      <c r="M316" s="11">
        <v>2869124</v>
      </c>
      <c r="N316" s="3">
        <v>10</v>
      </c>
      <c r="O316" s="11">
        <f>jewels[[#This Row],[Cost ]]*jewels[[#This Row],[Sales_Qty]]</f>
        <v>20493742.857142858</v>
      </c>
      <c r="P316" s="11">
        <v>28691240</v>
      </c>
      <c r="Q316" s="11">
        <f>jewels[[#This Row],[Total Sales Value]]-jewels[[#This Row],[Cost Per Unit]]</f>
        <v>8197497.1428571418</v>
      </c>
      <c r="R316" s="13">
        <f>jewels[[#This Row],[Profit]]/jewels[[#This Row],[Cost Per Unit]]</f>
        <v>0.39999999999999991</v>
      </c>
    </row>
    <row r="317" spans="1:18" x14ac:dyDescent="0.25">
      <c r="A317" s="3">
        <v>316</v>
      </c>
      <c r="B317" s="4">
        <v>44213</v>
      </c>
      <c r="C317" s="3">
        <v>2021</v>
      </c>
      <c r="D317" s="3">
        <v>1</v>
      </c>
      <c r="E317" s="5" t="s">
        <v>41</v>
      </c>
      <c r="F317" s="3">
        <v>364</v>
      </c>
      <c r="G317" s="5" t="s">
        <v>55</v>
      </c>
      <c r="H317" s="5" t="s">
        <v>56</v>
      </c>
      <c r="I317" s="5" t="s">
        <v>29</v>
      </c>
      <c r="J317" s="5" t="s">
        <v>47</v>
      </c>
      <c r="K317" s="3">
        <v>91</v>
      </c>
      <c r="L317" s="11">
        <f>jewels[[#This Row],[Unit Price]]/(1+40%)</f>
        <v>4587222.8571428573</v>
      </c>
      <c r="M317" s="11">
        <v>6422112</v>
      </c>
      <c r="N317" s="3">
        <v>8</v>
      </c>
      <c r="O317" s="11">
        <f>jewels[[#This Row],[Cost ]]*jewels[[#This Row],[Sales_Qty]]</f>
        <v>36697782.857142858</v>
      </c>
      <c r="P317" s="11">
        <v>51376896</v>
      </c>
      <c r="Q317" s="11">
        <f>jewels[[#This Row],[Total Sales Value]]-jewels[[#This Row],[Cost Per Unit]]</f>
        <v>14679113.142857142</v>
      </c>
      <c r="R317" s="13">
        <f>jewels[[#This Row],[Profit]]/jewels[[#This Row],[Cost Per Unit]]</f>
        <v>0.39999999999999997</v>
      </c>
    </row>
    <row r="318" spans="1:18" x14ac:dyDescent="0.25">
      <c r="A318" s="3">
        <v>317</v>
      </c>
      <c r="B318" s="4">
        <v>44704</v>
      </c>
      <c r="C318" s="3">
        <v>2022</v>
      </c>
      <c r="D318" s="3">
        <v>5</v>
      </c>
      <c r="E318" s="5" t="s">
        <v>53</v>
      </c>
      <c r="F318" s="3">
        <v>77</v>
      </c>
      <c r="G318" s="5" t="s">
        <v>48</v>
      </c>
      <c r="H318" s="5" t="s">
        <v>16</v>
      </c>
      <c r="I318" s="5" t="s">
        <v>39</v>
      </c>
      <c r="J318" s="5" t="s">
        <v>45</v>
      </c>
      <c r="K318" s="3">
        <v>91</v>
      </c>
      <c r="L318" s="11">
        <f>jewels[[#This Row],[Unit Price]]/(1+40%)</f>
        <v>4428486.4285714291</v>
      </c>
      <c r="M318" s="11">
        <v>6199881</v>
      </c>
      <c r="N318" s="3">
        <v>1</v>
      </c>
      <c r="O318" s="11">
        <f>jewels[[#This Row],[Cost ]]*jewels[[#This Row],[Sales_Qty]]</f>
        <v>4428486.4285714291</v>
      </c>
      <c r="P318" s="11">
        <v>6199881</v>
      </c>
      <c r="Q318" s="11">
        <f>jewels[[#This Row],[Total Sales Value]]-jewels[[#This Row],[Cost Per Unit]]</f>
        <v>1771394.5714285709</v>
      </c>
      <c r="R318" s="13">
        <f>jewels[[#This Row],[Profit]]/jewels[[#This Row],[Cost Per Unit]]</f>
        <v>0.39999999999999986</v>
      </c>
    </row>
    <row r="319" spans="1:18" x14ac:dyDescent="0.25">
      <c r="A319" s="3">
        <v>318</v>
      </c>
      <c r="B319" s="4">
        <v>45096</v>
      </c>
      <c r="C319" s="3">
        <v>2023</v>
      </c>
      <c r="D319" s="3">
        <v>6</v>
      </c>
      <c r="E319" s="5" t="s">
        <v>14</v>
      </c>
      <c r="F319" s="3">
        <v>269</v>
      </c>
      <c r="G319" s="5" t="s">
        <v>34</v>
      </c>
      <c r="H319" s="5" t="s">
        <v>35</v>
      </c>
      <c r="I319" s="5" t="s">
        <v>40</v>
      </c>
      <c r="J319" s="5" t="s">
        <v>30</v>
      </c>
      <c r="K319" s="3">
        <v>80</v>
      </c>
      <c r="L319" s="11">
        <f>jewels[[#This Row],[Unit Price]]/(1+40%)</f>
        <v>4661940.7142857146</v>
      </c>
      <c r="M319" s="11">
        <v>6526717</v>
      </c>
      <c r="N319" s="3">
        <v>10</v>
      </c>
      <c r="O319" s="11">
        <f>jewels[[#This Row],[Cost ]]*jewels[[#This Row],[Sales_Qty]]</f>
        <v>46619407.142857149</v>
      </c>
      <c r="P319" s="11">
        <v>65267170</v>
      </c>
      <c r="Q319" s="11">
        <f>jewels[[#This Row],[Total Sales Value]]-jewels[[#This Row],[Cost Per Unit]]</f>
        <v>18647762.857142851</v>
      </c>
      <c r="R319" s="13">
        <f>jewels[[#This Row],[Profit]]/jewels[[#This Row],[Cost Per Unit]]</f>
        <v>0.3999999999999998</v>
      </c>
    </row>
    <row r="320" spans="1:18" x14ac:dyDescent="0.25">
      <c r="A320" s="3">
        <v>319</v>
      </c>
      <c r="B320" s="4">
        <v>45056</v>
      </c>
      <c r="C320" s="3">
        <v>2023</v>
      </c>
      <c r="D320" s="3">
        <v>5</v>
      </c>
      <c r="E320" s="5" t="s">
        <v>53</v>
      </c>
      <c r="F320" s="3">
        <v>156</v>
      </c>
      <c r="G320" s="5" t="s">
        <v>46</v>
      </c>
      <c r="H320" s="5" t="s">
        <v>35</v>
      </c>
      <c r="I320" s="5" t="s">
        <v>40</v>
      </c>
      <c r="J320" s="5" t="s">
        <v>32</v>
      </c>
      <c r="K320" s="3">
        <v>99</v>
      </c>
      <c r="L320" s="11">
        <f>jewels[[#This Row],[Unit Price]]/(1+40%)</f>
        <v>1870259.2857142859</v>
      </c>
      <c r="M320" s="11">
        <v>2618363</v>
      </c>
      <c r="N320" s="3">
        <v>7</v>
      </c>
      <c r="O320" s="11">
        <f>jewels[[#This Row],[Cost ]]*jewels[[#This Row],[Sales_Qty]]</f>
        <v>13091815.000000002</v>
      </c>
      <c r="P320" s="11">
        <v>18328541</v>
      </c>
      <c r="Q320" s="11">
        <f>jewels[[#This Row],[Total Sales Value]]-jewels[[#This Row],[Cost Per Unit]]</f>
        <v>5236725.9999999981</v>
      </c>
      <c r="R320" s="13">
        <f>jewels[[#This Row],[Profit]]/jewels[[#This Row],[Cost Per Unit]]</f>
        <v>0.3999999999999998</v>
      </c>
    </row>
    <row r="321" spans="1:18" x14ac:dyDescent="0.25">
      <c r="A321" s="3">
        <v>320</v>
      </c>
      <c r="B321" s="4">
        <v>45338</v>
      </c>
      <c r="C321" s="3">
        <v>2024</v>
      </c>
      <c r="D321" s="3">
        <v>2</v>
      </c>
      <c r="E321" s="5" t="s">
        <v>19</v>
      </c>
      <c r="F321" s="3">
        <v>231</v>
      </c>
      <c r="G321" s="5" t="s">
        <v>20</v>
      </c>
      <c r="H321" s="5" t="s">
        <v>21</v>
      </c>
      <c r="I321" s="5" t="s">
        <v>22</v>
      </c>
      <c r="J321" s="5" t="s">
        <v>30</v>
      </c>
      <c r="K321" s="3">
        <v>90</v>
      </c>
      <c r="L321" s="11">
        <f>jewels[[#This Row],[Unit Price]]/(1+40%)</f>
        <v>1412950</v>
      </c>
      <c r="M321" s="11">
        <v>1978130</v>
      </c>
      <c r="N321" s="3">
        <v>9</v>
      </c>
      <c r="O321" s="11">
        <f>jewels[[#This Row],[Cost ]]*jewels[[#This Row],[Sales_Qty]]</f>
        <v>12716550</v>
      </c>
      <c r="P321" s="11">
        <v>17803170</v>
      </c>
      <c r="Q321" s="11">
        <f>jewels[[#This Row],[Total Sales Value]]-jewels[[#This Row],[Cost Per Unit]]</f>
        <v>5086620</v>
      </c>
      <c r="R321" s="13">
        <f>jewels[[#This Row],[Profit]]/jewels[[#This Row],[Cost Per Unit]]</f>
        <v>0.4</v>
      </c>
    </row>
    <row r="322" spans="1:18" x14ac:dyDescent="0.25">
      <c r="A322" s="3">
        <v>321</v>
      </c>
      <c r="B322" s="4">
        <v>44178</v>
      </c>
      <c r="C322" s="3">
        <v>2020</v>
      </c>
      <c r="D322" s="3">
        <v>12</v>
      </c>
      <c r="E322" s="5" t="s">
        <v>37</v>
      </c>
      <c r="F322" s="3">
        <v>83</v>
      </c>
      <c r="G322" s="5" t="s">
        <v>34</v>
      </c>
      <c r="H322" s="5" t="s">
        <v>35</v>
      </c>
      <c r="I322" s="5" t="s">
        <v>39</v>
      </c>
      <c r="J322" s="5" t="s">
        <v>44</v>
      </c>
      <c r="K322" s="3">
        <v>87</v>
      </c>
      <c r="L322" s="11">
        <f>jewels[[#This Row],[Unit Price]]/(1+40%)</f>
        <v>4878668.5714285718</v>
      </c>
      <c r="M322" s="11">
        <v>6830136</v>
      </c>
      <c r="N322" s="3">
        <v>1</v>
      </c>
      <c r="O322" s="11">
        <f>jewels[[#This Row],[Cost ]]*jewels[[#This Row],[Sales_Qty]]</f>
        <v>4878668.5714285718</v>
      </c>
      <c r="P322" s="11">
        <v>6830136</v>
      </c>
      <c r="Q322" s="11">
        <f>jewels[[#This Row],[Total Sales Value]]-jewels[[#This Row],[Cost Per Unit]]</f>
        <v>1951467.4285714282</v>
      </c>
      <c r="R322" s="13">
        <f>jewels[[#This Row],[Profit]]/jewels[[#This Row],[Cost Per Unit]]</f>
        <v>0.39999999999999991</v>
      </c>
    </row>
    <row r="323" spans="1:18" x14ac:dyDescent="0.25">
      <c r="A323" s="3">
        <v>322</v>
      </c>
      <c r="B323" s="4">
        <v>45029</v>
      </c>
      <c r="C323" s="3">
        <v>2023</v>
      </c>
      <c r="D323" s="3">
        <v>4</v>
      </c>
      <c r="E323" s="5" t="s">
        <v>24</v>
      </c>
      <c r="F323" s="3">
        <v>39</v>
      </c>
      <c r="G323" s="5" t="s">
        <v>34</v>
      </c>
      <c r="H323" s="5" t="s">
        <v>35</v>
      </c>
      <c r="I323" s="5" t="s">
        <v>39</v>
      </c>
      <c r="J323" s="5" t="s">
        <v>47</v>
      </c>
      <c r="K323" s="3">
        <v>94</v>
      </c>
      <c r="L323" s="11">
        <f>jewels[[#This Row],[Unit Price]]/(1+40%)</f>
        <v>5083092.8571428573</v>
      </c>
      <c r="M323" s="11">
        <v>7116330</v>
      </c>
      <c r="N323" s="3">
        <v>6</v>
      </c>
      <c r="O323" s="11">
        <f>jewels[[#This Row],[Cost ]]*jewels[[#This Row],[Sales_Qty]]</f>
        <v>30498557.142857142</v>
      </c>
      <c r="P323" s="11">
        <v>42697980</v>
      </c>
      <c r="Q323" s="11">
        <f>jewels[[#This Row],[Total Sales Value]]-jewels[[#This Row],[Cost Per Unit]]</f>
        <v>12199422.857142858</v>
      </c>
      <c r="R323" s="13">
        <f>jewels[[#This Row],[Profit]]/jewels[[#This Row],[Cost Per Unit]]</f>
        <v>0.4</v>
      </c>
    </row>
    <row r="324" spans="1:18" x14ac:dyDescent="0.25">
      <c r="A324" s="3">
        <v>323</v>
      </c>
      <c r="B324" s="4">
        <v>45230</v>
      </c>
      <c r="C324" s="3">
        <v>2023</v>
      </c>
      <c r="D324" s="3">
        <v>10</v>
      </c>
      <c r="E324" s="5" t="s">
        <v>61</v>
      </c>
      <c r="F324" s="3">
        <v>41</v>
      </c>
      <c r="G324" s="5" t="s">
        <v>34</v>
      </c>
      <c r="H324" s="5" t="s">
        <v>35</v>
      </c>
      <c r="I324" s="5" t="s">
        <v>40</v>
      </c>
      <c r="J324" s="5" t="s">
        <v>44</v>
      </c>
      <c r="K324" s="3">
        <v>62</v>
      </c>
      <c r="L324" s="11">
        <f>jewels[[#This Row],[Unit Price]]/(1+40%)</f>
        <v>4756402.1428571427</v>
      </c>
      <c r="M324" s="11">
        <v>6658963</v>
      </c>
      <c r="N324" s="3">
        <v>7</v>
      </c>
      <c r="O324" s="11">
        <f>jewels[[#This Row],[Cost ]]*jewels[[#This Row],[Sales_Qty]]</f>
        <v>33294815</v>
      </c>
      <c r="P324" s="11">
        <v>46612741</v>
      </c>
      <c r="Q324" s="11">
        <f>jewels[[#This Row],[Total Sales Value]]-jewels[[#This Row],[Cost Per Unit]]</f>
        <v>13317926</v>
      </c>
      <c r="R324" s="13">
        <f>jewels[[#This Row],[Profit]]/jewels[[#This Row],[Cost Per Unit]]</f>
        <v>0.4</v>
      </c>
    </row>
    <row r="325" spans="1:18" x14ac:dyDescent="0.25">
      <c r="A325" s="3">
        <v>324</v>
      </c>
      <c r="B325" s="4">
        <v>44606</v>
      </c>
      <c r="C325" s="3">
        <v>2022</v>
      </c>
      <c r="D325" s="3">
        <v>2</v>
      </c>
      <c r="E325" s="5" t="s">
        <v>19</v>
      </c>
      <c r="F325" s="3">
        <v>317</v>
      </c>
      <c r="G325" s="5" t="s">
        <v>38</v>
      </c>
      <c r="H325" s="5" t="s">
        <v>35</v>
      </c>
      <c r="I325" s="5" t="s">
        <v>27</v>
      </c>
      <c r="J325" s="5" t="s">
        <v>18</v>
      </c>
      <c r="K325" s="3">
        <v>90</v>
      </c>
      <c r="L325" s="11">
        <f>jewels[[#This Row],[Unit Price]]/(1+40%)</f>
        <v>6844877.8571428573</v>
      </c>
      <c r="M325" s="11">
        <v>9582829</v>
      </c>
      <c r="N325" s="3">
        <v>2</v>
      </c>
      <c r="O325" s="11">
        <f>jewels[[#This Row],[Cost ]]*jewels[[#This Row],[Sales_Qty]]</f>
        <v>13689755.714285715</v>
      </c>
      <c r="P325" s="11">
        <v>19165658</v>
      </c>
      <c r="Q325" s="11">
        <f>jewels[[#This Row],[Total Sales Value]]-jewels[[#This Row],[Cost Per Unit]]</f>
        <v>5475902.2857142854</v>
      </c>
      <c r="R325" s="13">
        <f>jewels[[#This Row],[Profit]]/jewels[[#This Row],[Cost Per Unit]]</f>
        <v>0.39999999999999997</v>
      </c>
    </row>
    <row r="326" spans="1:18" x14ac:dyDescent="0.25">
      <c r="A326" s="3">
        <v>325</v>
      </c>
      <c r="B326" s="4">
        <v>45185</v>
      </c>
      <c r="C326" s="3">
        <v>2023</v>
      </c>
      <c r="D326" s="3">
        <v>9</v>
      </c>
      <c r="E326" s="5" t="s">
        <v>33</v>
      </c>
      <c r="F326" s="3">
        <v>4</v>
      </c>
      <c r="G326" s="5" t="s">
        <v>63</v>
      </c>
      <c r="H326" s="5" t="s">
        <v>21</v>
      </c>
      <c r="I326" s="5" t="s">
        <v>27</v>
      </c>
      <c r="J326" s="5" t="s">
        <v>18</v>
      </c>
      <c r="K326" s="3">
        <v>100</v>
      </c>
      <c r="L326" s="11">
        <f>jewels[[#This Row],[Unit Price]]/(1+40%)</f>
        <v>2591790</v>
      </c>
      <c r="M326" s="11">
        <v>3628506</v>
      </c>
      <c r="N326" s="3">
        <v>1</v>
      </c>
      <c r="O326" s="11">
        <f>jewels[[#This Row],[Cost ]]*jewels[[#This Row],[Sales_Qty]]</f>
        <v>2591790</v>
      </c>
      <c r="P326" s="11">
        <v>3628506</v>
      </c>
      <c r="Q326" s="11">
        <f>jewels[[#This Row],[Total Sales Value]]-jewels[[#This Row],[Cost Per Unit]]</f>
        <v>1036716</v>
      </c>
      <c r="R326" s="13">
        <f>jewels[[#This Row],[Profit]]/jewels[[#This Row],[Cost Per Unit]]</f>
        <v>0.4</v>
      </c>
    </row>
    <row r="327" spans="1:18" x14ac:dyDescent="0.25">
      <c r="A327" s="3">
        <v>326</v>
      </c>
      <c r="B327" s="4">
        <v>45026</v>
      </c>
      <c r="C327" s="3">
        <v>2023</v>
      </c>
      <c r="D327" s="3">
        <v>4</v>
      </c>
      <c r="E327" s="5" t="s">
        <v>24</v>
      </c>
      <c r="F327" s="3">
        <v>189</v>
      </c>
      <c r="G327" s="5" t="s">
        <v>20</v>
      </c>
      <c r="H327" s="5" t="s">
        <v>21</v>
      </c>
      <c r="I327" s="5" t="s">
        <v>22</v>
      </c>
      <c r="J327" s="5" t="s">
        <v>44</v>
      </c>
      <c r="K327" s="3">
        <v>84</v>
      </c>
      <c r="L327" s="11">
        <f>jewels[[#This Row],[Unit Price]]/(1+40%)</f>
        <v>441600</v>
      </c>
      <c r="M327" s="11">
        <v>618240</v>
      </c>
      <c r="N327" s="3">
        <v>7</v>
      </c>
      <c r="O327" s="11">
        <f>jewels[[#This Row],[Cost ]]*jewels[[#This Row],[Sales_Qty]]</f>
        <v>3091200</v>
      </c>
      <c r="P327" s="11">
        <v>4327680</v>
      </c>
      <c r="Q327" s="11">
        <f>jewels[[#This Row],[Total Sales Value]]-jewels[[#This Row],[Cost Per Unit]]</f>
        <v>1236480</v>
      </c>
      <c r="R327" s="13">
        <f>jewels[[#This Row],[Profit]]/jewels[[#This Row],[Cost Per Unit]]</f>
        <v>0.4</v>
      </c>
    </row>
    <row r="328" spans="1:18" x14ac:dyDescent="0.25">
      <c r="A328" s="3">
        <v>327</v>
      </c>
      <c r="B328" s="4">
        <v>44984</v>
      </c>
      <c r="C328" s="3">
        <v>2023</v>
      </c>
      <c r="D328" s="3">
        <v>2</v>
      </c>
      <c r="E328" s="5" t="s">
        <v>19</v>
      </c>
      <c r="F328" s="3">
        <v>53</v>
      </c>
      <c r="G328" s="5" t="s">
        <v>54</v>
      </c>
      <c r="H328" s="5" t="s">
        <v>21</v>
      </c>
      <c r="I328" s="5" t="s">
        <v>40</v>
      </c>
      <c r="J328" s="5" t="s">
        <v>32</v>
      </c>
      <c r="K328" s="3">
        <v>84</v>
      </c>
      <c r="L328" s="11">
        <f>jewels[[#This Row],[Unit Price]]/(1+40%)</f>
        <v>2171175.7142857146</v>
      </c>
      <c r="M328" s="11">
        <v>3039646</v>
      </c>
      <c r="N328" s="3">
        <v>5</v>
      </c>
      <c r="O328" s="11">
        <f>jewels[[#This Row],[Cost ]]*jewels[[#This Row],[Sales_Qty]]</f>
        <v>10855878.571428573</v>
      </c>
      <c r="P328" s="11">
        <v>15198230</v>
      </c>
      <c r="Q328" s="11">
        <f>jewels[[#This Row],[Total Sales Value]]-jewels[[#This Row],[Cost Per Unit]]</f>
        <v>4342351.4285714272</v>
      </c>
      <c r="R328" s="13">
        <f>jewels[[#This Row],[Profit]]/jewels[[#This Row],[Cost Per Unit]]</f>
        <v>0.39999999999999986</v>
      </c>
    </row>
    <row r="329" spans="1:18" x14ac:dyDescent="0.25">
      <c r="A329" s="3">
        <v>328</v>
      </c>
      <c r="B329" s="4">
        <v>44533</v>
      </c>
      <c r="C329" s="3">
        <v>2021</v>
      </c>
      <c r="D329" s="3">
        <v>12</v>
      </c>
      <c r="E329" s="5" t="s">
        <v>37</v>
      </c>
      <c r="F329" s="3">
        <v>246</v>
      </c>
      <c r="G329" s="5" t="s">
        <v>54</v>
      </c>
      <c r="H329" s="5" t="s">
        <v>21</v>
      </c>
      <c r="I329" s="5" t="s">
        <v>17</v>
      </c>
      <c r="J329" s="5" t="s">
        <v>18</v>
      </c>
      <c r="K329" s="3">
        <v>100</v>
      </c>
      <c r="L329" s="11">
        <f>jewels[[#This Row],[Unit Price]]/(1+40%)</f>
        <v>5214430</v>
      </c>
      <c r="M329" s="11">
        <v>7300202</v>
      </c>
      <c r="N329" s="3">
        <v>1</v>
      </c>
      <c r="O329" s="11">
        <f>jewels[[#This Row],[Cost ]]*jewels[[#This Row],[Sales_Qty]]</f>
        <v>5214430</v>
      </c>
      <c r="P329" s="11">
        <v>7300202</v>
      </c>
      <c r="Q329" s="11">
        <f>jewels[[#This Row],[Total Sales Value]]-jewels[[#This Row],[Cost Per Unit]]</f>
        <v>2085772</v>
      </c>
      <c r="R329" s="13">
        <f>jewels[[#This Row],[Profit]]/jewels[[#This Row],[Cost Per Unit]]</f>
        <v>0.4</v>
      </c>
    </row>
    <row r="330" spans="1:18" x14ac:dyDescent="0.25">
      <c r="A330" s="3">
        <v>329</v>
      </c>
      <c r="B330" s="4">
        <v>45286</v>
      </c>
      <c r="C330" s="3">
        <v>2023</v>
      </c>
      <c r="D330" s="3">
        <v>12</v>
      </c>
      <c r="E330" s="5" t="s">
        <v>37</v>
      </c>
      <c r="F330" s="3">
        <v>231</v>
      </c>
      <c r="G330" s="5" t="s">
        <v>54</v>
      </c>
      <c r="H330" s="5" t="s">
        <v>21</v>
      </c>
      <c r="I330" s="5" t="s">
        <v>39</v>
      </c>
      <c r="J330" s="5" t="s">
        <v>28</v>
      </c>
      <c r="K330" s="3">
        <v>84</v>
      </c>
      <c r="L330" s="11">
        <f>jewels[[#This Row],[Unit Price]]/(1+40%)</f>
        <v>4767960.7142857146</v>
      </c>
      <c r="M330" s="11">
        <v>6675145</v>
      </c>
      <c r="N330" s="3">
        <v>3</v>
      </c>
      <c r="O330" s="11">
        <f>jewels[[#This Row],[Cost ]]*jewels[[#This Row],[Sales_Qty]]</f>
        <v>14303882.142857144</v>
      </c>
      <c r="P330" s="11">
        <v>20025435</v>
      </c>
      <c r="Q330" s="11">
        <f>jewels[[#This Row],[Total Sales Value]]-jewels[[#This Row],[Cost Per Unit]]</f>
        <v>5721552.8571428563</v>
      </c>
      <c r="R330" s="13">
        <f>jewels[[#This Row],[Profit]]/jewels[[#This Row],[Cost Per Unit]]</f>
        <v>0.39999999999999991</v>
      </c>
    </row>
    <row r="331" spans="1:18" x14ac:dyDescent="0.25">
      <c r="A331" s="3">
        <v>330</v>
      </c>
      <c r="B331" s="4">
        <v>44408</v>
      </c>
      <c r="C331" s="3">
        <v>2021</v>
      </c>
      <c r="D331" s="3">
        <v>7</v>
      </c>
      <c r="E331" s="5" t="s">
        <v>49</v>
      </c>
      <c r="F331" s="3">
        <v>17</v>
      </c>
      <c r="G331" s="5" t="s">
        <v>46</v>
      </c>
      <c r="H331" s="5" t="s">
        <v>35</v>
      </c>
      <c r="I331" s="5" t="s">
        <v>27</v>
      </c>
      <c r="J331" s="5" t="s">
        <v>30</v>
      </c>
      <c r="K331" s="3">
        <v>61</v>
      </c>
      <c r="L331" s="11">
        <f>jewels[[#This Row],[Unit Price]]/(1+40%)</f>
        <v>3282034.2857142859</v>
      </c>
      <c r="M331" s="11">
        <v>4594848</v>
      </c>
      <c r="N331" s="3">
        <v>4</v>
      </c>
      <c r="O331" s="11">
        <f>jewels[[#This Row],[Cost ]]*jewels[[#This Row],[Sales_Qty]]</f>
        <v>13128137.142857144</v>
      </c>
      <c r="P331" s="11">
        <v>18379392</v>
      </c>
      <c r="Q331" s="11">
        <f>jewels[[#This Row],[Total Sales Value]]-jewels[[#This Row],[Cost Per Unit]]</f>
        <v>5251254.8571428563</v>
      </c>
      <c r="R331" s="13">
        <f>jewels[[#This Row],[Profit]]/jewels[[#This Row],[Cost Per Unit]]</f>
        <v>0.39999999999999991</v>
      </c>
    </row>
    <row r="332" spans="1:18" x14ac:dyDescent="0.25">
      <c r="A332" s="3">
        <v>331</v>
      </c>
      <c r="B332" s="4">
        <v>44350</v>
      </c>
      <c r="C332" s="3">
        <v>2021</v>
      </c>
      <c r="D332" s="3">
        <v>6</v>
      </c>
      <c r="E332" s="5" t="s">
        <v>14</v>
      </c>
      <c r="F332" s="3">
        <v>323</v>
      </c>
      <c r="G332" s="5" t="s">
        <v>42</v>
      </c>
      <c r="H332" s="5" t="s">
        <v>26</v>
      </c>
      <c r="I332" s="5" t="s">
        <v>29</v>
      </c>
      <c r="J332" s="5" t="s">
        <v>23</v>
      </c>
      <c r="K332" s="3">
        <v>55</v>
      </c>
      <c r="L332" s="11">
        <f>jewels[[#This Row],[Unit Price]]/(1+40%)</f>
        <v>6187503.5714285718</v>
      </c>
      <c r="M332" s="11">
        <v>8662505</v>
      </c>
      <c r="N332" s="3">
        <v>9</v>
      </c>
      <c r="O332" s="11">
        <f>jewels[[#This Row],[Cost ]]*jewels[[#This Row],[Sales_Qty]]</f>
        <v>55687532.142857149</v>
      </c>
      <c r="P332" s="11">
        <v>77962545</v>
      </c>
      <c r="Q332" s="11">
        <f>jewels[[#This Row],[Total Sales Value]]-jewels[[#This Row],[Cost Per Unit]]</f>
        <v>22275012.857142851</v>
      </c>
      <c r="R332" s="13">
        <f>jewels[[#This Row],[Profit]]/jewels[[#This Row],[Cost Per Unit]]</f>
        <v>0.39999999999999986</v>
      </c>
    </row>
    <row r="333" spans="1:18" x14ac:dyDescent="0.25">
      <c r="A333" s="3">
        <v>332</v>
      </c>
      <c r="B333" s="4">
        <v>45228</v>
      </c>
      <c r="C333" s="3">
        <v>2023</v>
      </c>
      <c r="D333" s="3">
        <v>10</v>
      </c>
      <c r="E333" s="5" t="s">
        <v>61</v>
      </c>
      <c r="F333" s="3">
        <v>332</v>
      </c>
      <c r="G333" s="5" t="s">
        <v>15</v>
      </c>
      <c r="H333" s="5" t="s">
        <v>16</v>
      </c>
      <c r="I333" s="5" t="s">
        <v>27</v>
      </c>
      <c r="J333" s="5" t="s">
        <v>32</v>
      </c>
      <c r="K333" s="3">
        <v>76</v>
      </c>
      <c r="L333" s="11">
        <f>jewels[[#This Row],[Unit Price]]/(1+40%)</f>
        <v>4913981.4285714291</v>
      </c>
      <c r="M333" s="11">
        <v>6879574</v>
      </c>
      <c r="N333" s="3">
        <v>6</v>
      </c>
      <c r="O333" s="11">
        <f>jewels[[#This Row],[Cost ]]*jewels[[#This Row],[Sales_Qty]]</f>
        <v>29483888.571428575</v>
      </c>
      <c r="P333" s="11">
        <v>41277444</v>
      </c>
      <c r="Q333" s="11">
        <f>jewels[[#This Row],[Total Sales Value]]-jewels[[#This Row],[Cost Per Unit]]</f>
        <v>11793555.428571425</v>
      </c>
      <c r="R333" s="13">
        <f>jewels[[#This Row],[Profit]]/jewels[[#This Row],[Cost Per Unit]]</f>
        <v>0.39999999999999986</v>
      </c>
    </row>
    <row r="334" spans="1:18" x14ac:dyDescent="0.25">
      <c r="A334" s="3">
        <v>333</v>
      </c>
      <c r="B334" s="4">
        <v>44653</v>
      </c>
      <c r="C334" s="3">
        <v>2022</v>
      </c>
      <c r="D334" s="3">
        <v>4</v>
      </c>
      <c r="E334" s="5" t="s">
        <v>24</v>
      </c>
      <c r="F334" s="3">
        <v>257</v>
      </c>
      <c r="G334" s="5" t="s">
        <v>31</v>
      </c>
      <c r="H334" s="5" t="s">
        <v>26</v>
      </c>
      <c r="I334" s="5" t="s">
        <v>27</v>
      </c>
      <c r="J334" s="5" t="s">
        <v>18</v>
      </c>
      <c r="K334" s="3">
        <v>53</v>
      </c>
      <c r="L334" s="11">
        <f>jewels[[#This Row],[Unit Price]]/(1+40%)</f>
        <v>2491649.2857142859</v>
      </c>
      <c r="M334" s="11">
        <v>3488309</v>
      </c>
      <c r="N334" s="3">
        <v>5</v>
      </c>
      <c r="O334" s="11">
        <f>jewels[[#This Row],[Cost ]]*jewels[[#This Row],[Sales_Qty]]</f>
        <v>12458246.428571429</v>
      </c>
      <c r="P334" s="11">
        <v>17441545</v>
      </c>
      <c r="Q334" s="11">
        <f>jewels[[#This Row],[Total Sales Value]]-jewels[[#This Row],[Cost Per Unit]]</f>
        <v>4983298.5714285709</v>
      </c>
      <c r="R334" s="13">
        <f>jewels[[#This Row],[Profit]]/jewels[[#This Row],[Cost Per Unit]]</f>
        <v>0.39999999999999997</v>
      </c>
    </row>
    <row r="335" spans="1:18" x14ac:dyDescent="0.25">
      <c r="A335" s="3">
        <v>334</v>
      </c>
      <c r="B335" s="4">
        <v>44981</v>
      </c>
      <c r="C335" s="3">
        <v>2023</v>
      </c>
      <c r="D335" s="3">
        <v>2</v>
      </c>
      <c r="E335" s="5" t="s">
        <v>19</v>
      </c>
      <c r="F335" s="3">
        <v>393</v>
      </c>
      <c r="G335" s="5" t="s">
        <v>46</v>
      </c>
      <c r="H335" s="5" t="s">
        <v>35</v>
      </c>
      <c r="I335" s="5" t="s">
        <v>27</v>
      </c>
      <c r="J335" s="5" t="s">
        <v>32</v>
      </c>
      <c r="K335" s="3">
        <v>98</v>
      </c>
      <c r="L335" s="11">
        <f>jewels[[#This Row],[Unit Price]]/(1+40%)</f>
        <v>3170232.1428571432</v>
      </c>
      <c r="M335" s="11">
        <v>4438325</v>
      </c>
      <c r="N335" s="3">
        <v>3</v>
      </c>
      <c r="O335" s="11">
        <f>jewels[[#This Row],[Cost ]]*jewels[[#This Row],[Sales_Qty]]</f>
        <v>9510696.4285714291</v>
      </c>
      <c r="P335" s="11">
        <v>13314975</v>
      </c>
      <c r="Q335" s="11">
        <f>jewels[[#This Row],[Total Sales Value]]-jewels[[#This Row],[Cost Per Unit]]</f>
        <v>3804278.5714285709</v>
      </c>
      <c r="R335" s="13">
        <f>jewels[[#This Row],[Profit]]/jewels[[#This Row],[Cost Per Unit]]</f>
        <v>0.39999999999999991</v>
      </c>
    </row>
    <row r="336" spans="1:18" x14ac:dyDescent="0.25">
      <c r="A336" s="3">
        <v>335</v>
      </c>
      <c r="B336" s="4">
        <v>44436</v>
      </c>
      <c r="C336" s="3">
        <v>2021</v>
      </c>
      <c r="D336" s="3">
        <v>8</v>
      </c>
      <c r="E336" s="5" t="s">
        <v>51</v>
      </c>
      <c r="F336" s="3">
        <v>7</v>
      </c>
      <c r="G336" s="5" t="s">
        <v>31</v>
      </c>
      <c r="H336" s="5" t="s">
        <v>26</v>
      </c>
      <c r="I336" s="5" t="s">
        <v>39</v>
      </c>
      <c r="J336" s="5" t="s">
        <v>45</v>
      </c>
      <c r="K336" s="3">
        <v>76</v>
      </c>
      <c r="L336" s="11">
        <f>jewels[[#This Row],[Unit Price]]/(1+40%)</f>
        <v>1785280</v>
      </c>
      <c r="M336" s="11">
        <v>2499392</v>
      </c>
      <c r="N336" s="3">
        <v>1</v>
      </c>
      <c r="O336" s="11">
        <f>jewels[[#This Row],[Cost ]]*jewels[[#This Row],[Sales_Qty]]</f>
        <v>1785280</v>
      </c>
      <c r="P336" s="11">
        <v>2499392</v>
      </c>
      <c r="Q336" s="11">
        <f>jewels[[#This Row],[Total Sales Value]]-jewels[[#This Row],[Cost Per Unit]]</f>
        <v>714112</v>
      </c>
      <c r="R336" s="13">
        <f>jewels[[#This Row],[Profit]]/jewels[[#This Row],[Cost Per Unit]]</f>
        <v>0.4</v>
      </c>
    </row>
    <row r="337" spans="1:18" x14ac:dyDescent="0.25">
      <c r="A337" s="3">
        <v>336</v>
      </c>
      <c r="B337" s="4">
        <v>45082</v>
      </c>
      <c r="C337" s="3">
        <v>2023</v>
      </c>
      <c r="D337" s="3">
        <v>6</v>
      </c>
      <c r="E337" s="5" t="s">
        <v>14</v>
      </c>
      <c r="F337" s="3">
        <v>33</v>
      </c>
      <c r="G337" s="5" t="s">
        <v>36</v>
      </c>
      <c r="H337" s="5" t="s">
        <v>16</v>
      </c>
      <c r="I337" s="5" t="s">
        <v>40</v>
      </c>
      <c r="J337" s="5" t="s">
        <v>30</v>
      </c>
      <c r="K337" s="3">
        <v>77</v>
      </c>
      <c r="L337" s="11">
        <f>jewels[[#This Row],[Unit Price]]/(1+40%)</f>
        <v>2355653.5714285714</v>
      </c>
      <c r="M337" s="11">
        <v>3297915</v>
      </c>
      <c r="N337" s="3">
        <v>6</v>
      </c>
      <c r="O337" s="11">
        <f>jewels[[#This Row],[Cost ]]*jewels[[#This Row],[Sales_Qty]]</f>
        <v>14133921.428571429</v>
      </c>
      <c r="P337" s="11">
        <v>19787490</v>
      </c>
      <c r="Q337" s="11">
        <f>jewels[[#This Row],[Total Sales Value]]-jewels[[#This Row],[Cost Per Unit]]</f>
        <v>5653568.5714285709</v>
      </c>
      <c r="R337" s="13">
        <f>jewels[[#This Row],[Profit]]/jewels[[#This Row],[Cost Per Unit]]</f>
        <v>0.39999999999999997</v>
      </c>
    </row>
    <row r="338" spans="1:18" x14ac:dyDescent="0.25">
      <c r="A338" s="3">
        <v>337</v>
      </c>
      <c r="B338" s="4">
        <v>44681</v>
      </c>
      <c r="C338" s="3">
        <v>2022</v>
      </c>
      <c r="D338" s="3">
        <v>4</v>
      </c>
      <c r="E338" s="5" t="s">
        <v>24</v>
      </c>
      <c r="F338" s="3">
        <v>497</v>
      </c>
      <c r="G338" s="5" t="s">
        <v>46</v>
      </c>
      <c r="H338" s="5" t="s">
        <v>35</v>
      </c>
      <c r="I338" s="5" t="s">
        <v>17</v>
      </c>
      <c r="J338" s="5" t="s">
        <v>28</v>
      </c>
      <c r="K338" s="3">
        <v>62</v>
      </c>
      <c r="L338" s="11">
        <f>jewels[[#This Row],[Unit Price]]/(1+40%)</f>
        <v>2851093.5714285718</v>
      </c>
      <c r="M338" s="11">
        <v>3991531</v>
      </c>
      <c r="N338" s="3">
        <v>5</v>
      </c>
      <c r="O338" s="11">
        <f>jewels[[#This Row],[Cost ]]*jewels[[#This Row],[Sales_Qty]]</f>
        <v>14255467.857142858</v>
      </c>
      <c r="P338" s="11">
        <v>19957655</v>
      </c>
      <c r="Q338" s="11">
        <f>jewels[[#This Row],[Total Sales Value]]-jewels[[#This Row],[Cost Per Unit]]</f>
        <v>5702187.1428571418</v>
      </c>
      <c r="R338" s="13">
        <f>jewels[[#This Row],[Profit]]/jewels[[#This Row],[Cost Per Unit]]</f>
        <v>0.39999999999999991</v>
      </c>
    </row>
    <row r="339" spans="1:18" x14ac:dyDescent="0.25">
      <c r="A339" s="3">
        <v>338</v>
      </c>
      <c r="B339" s="4">
        <v>44115</v>
      </c>
      <c r="C339" s="3">
        <v>2020</v>
      </c>
      <c r="D339" s="3">
        <v>10</v>
      </c>
      <c r="E339" s="5" t="s">
        <v>61</v>
      </c>
      <c r="F339" s="3">
        <v>181</v>
      </c>
      <c r="G339" s="5" t="s">
        <v>31</v>
      </c>
      <c r="H339" s="5" t="s">
        <v>26</v>
      </c>
      <c r="I339" s="5" t="s">
        <v>29</v>
      </c>
      <c r="J339" s="5" t="s">
        <v>18</v>
      </c>
      <c r="K339" s="3">
        <v>58</v>
      </c>
      <c r="L339" s="11">
        <f>jewels[[#This Row],[Unit Price]]/(1+40%)</f>
        <v>5519252.8571428573</v>
      </c>
      <c r="M339" s="11">
        <v>7726954</v>
      </c>
      <c r="N339" s="3">
        <v>7</v>
      </c>
      <c r="O339" s="11">
        <f>jewels[[#This Row],[Cost ]]*jewels[[#This Row],[Sales_Qty]]</f>
        <v>38634770</v>
      </c>
      <c r="P339" s="11">
        <v>54088678</v>
      </c>
      <c r="Q339" s="11">
        <f>jewels[[#This Row],[Total Sales Value]]-jewels[[#This Row],[Cost Per Unit]]</f>
        <v>15453908</v>
      </c>
      <c r="R339" s="13">
        <f>jewels[[#This Row],[Profit]]/jewels[[#This Row],[Cost Per Unit]]</f>
        <v>0.4</v>
      </c>
    </row>
    <row r="340" spans="1:18" x14ac:dyDescent="0.25">
      <c r="A340" s="3">
        <v>339</v>
      </c>
      <c r="B340" s="4">
        <v>44080</v>
      </c>
      <c r="C340" s="3">
        <v>2020</v>
      </c>
      <c r="D340" s="3">
        <v>9</v>
      </c>
      <c r="E340" s="5" t="s">
        <v>33</v>
      </c>
      <c r="F340" s="3">
        <v>119</v>
      </c>
      <c r="G340" s="5" t="s">
        <v>63</v>
      </c>
      <c r="H340" s="5" t="s">
        <v>21</v>
      </c>
      <c r="I340" s="5" t="s">
        <v>29</v>
      </c>
      <c r="J340" s="5" t="s">
        <v>28</v>
      </c>
      <c r="K340" s="3">
        <v>63</v>
      </c>
      <c r="L340" s="11">
        <f>jewels[[#This Row],[Unit Price]]/(1+40%)</f>
        <v>4957524.2857142864</v>
      </c>
      <c r="M340" s="11">
        <v>6940534</v>
      </c>
      <c r="N340" s="3">
        <v>2</v>
      </c>
      <c r="O340" s="11">
        <f>jewels[[#This Row],[Cost ]]*jewels[[#This Row],[Sales_Qty]]</f>
        <v>9915048.5714285728</v>
      </c>
      <c r="P340" s="11">
        <v>13881068</v>
      </c>
      <c r="Q340" s="11">
        <f>jewels[[#This Row],[Total Sales Value]]-jewels[[#This Row],[Cost Per Unit]]</f>
        <v>3966019.4285714272</v>
      </c>
      <c r="R340" s="13">
        <f>jewels[[#This Row],[Profit]]/jewels[[#This Row],[Cost Per Unit]]</f>
        <v>0.3999999999999998</v>
      </c>
    </row>
    <row r="341" spans="1:18" x14ac:dyDescent="0.25">
      <c r="A341" s="3">
        <v>340</v>
      </c>
      <c r="B341" s="4">
        <v>44294</v>
      </c>
      <c r="C341" s="3">
        <v>2021</v>
      </c>
      <c r="D341" s="3">
        <v>4</v>
      </c>
      <c r="E341" s="5" t="s">
        <v>24</v>
      </c>
      <c r="F341" s="3">
        <v>252</v>
      </c>
      <c r="G341" s="5" t="s">
        <v>48</v>
      </c>
      <c r="H341" s="5" t="s">
        <v>16</v>
      </c>
      <c r="I341" s="5" t="s">
        <v>22</v>
      </c>
      <c r="J341" s="5" t="s">
        <v>23</v>
      </c>
      <c r="K341" s="3">
        <v>81</v>
      </c>
      <c r="L341" s="11">
        <f>jewels[[#This Row],[Unit Price]]/(1+40%)</f>
        <v>6955816.4285714291</v>
      </c>
      <c r="M341" s="11">
        <v>9738143</v>
      </c>
      <c r="N341" s="3">
        <v>4</v>
      </c>
      <c r="O341" s="11">
        <f>jewels[[#This Row],[Cost ]]*jewels[[#This Row],[Sales_Qty]]</f>
        <v>27823265.714285716</v>
      </c>
      <c r="P341" s="11">
        <v>38952572</v>
      </c>
      <c r="Q341" s="11">
        <f>jewels[[#This Row],[Total Sales Value]]-jewels[[#This Row],[Cost Per Unit]]</f>
        <v>11129306.285714284</v>
      </c>
      <c r="R341" s="13">
        <f>jewels[[#This Row],[Profit]]/jewels[[#This Row],[Cost Per Unit]]</f>
        <v>0.39999999999999991</v>
      </c>
    </row>
    <row r="342" spans="1:18" x14ac:dyDescent="0.25">
      <c r="A342" s="3">
        <v>341</v>
      </c>
      <c r="B342" s="4">
        <v>45055</v>
      </c>
      <c r="C342" s="3">
        <v>2023</v>
      </c>
      <c r="D342" s="3">
        <v>5</v>
      </c>
      <c r="E342" s="5" t="s">
        <v>53</v>
      </c>
      <c r="F342" s="3">
        <v>48</v>
      </c>
      <c r="G342" s="5" t="s">
        <v>55</v>
      </c>
      <c r="H342" s="5" t="s">
        <v>56</v>
      </c>
      <c r="I342" s="5" t="s">
        <v>22</v>
      </c>
      <c r="J342" s="5" t="s">
        <v>30</v>
      </c>
      <c r="K342" s="3">
        <v>61</v>
      </c>
      <c r="L342" s="11">
        <f>jewels[[#This Row],[Unit Price]]/(1+40%)</f>
        <v>5091262.1428571427</v>
      </c>
      <c r="M342" s="11">
        <v>7127767</v>
      </c>
      <c r="N342" s="3">
        <v>2</v>
      </c>
      <c r="O342" s="11">
        <f>jewels[[#This Row],[Cost ]]*jewels[[#This Row],[Sales_Qty]]</f>
        <v>10182524.285714285</v>
      </c>
      <c r="P342" s="11">
        <v>14255534</v>
      </c>
      <c r="Q342" s="11">
        <f>jewels[[#This Row],[Total Sales Value]]-jewels[[#This Row],[Cost Per Unit]]</f>
        <v>4073009.7142857146</v>
      </c>
      <c r="R342" s="13">
        <f>jewels[[#This Row],[Profit]]/jewels[[#This Row],[Cost Per Unit]]</f>
        <v>0.4</v>
      </c>
    </row>
    <row r="343" spans="1:18" x14ac:dyDescent="0.25">
      <c r="A343" s="3">
        <v>342</v>
      </c>
      <c r="B343" s="4">
        <v>44162</v>
      </c>
      <c r="C343" s="3">
        <v>2020</v>
      </c>
      <c r="D343" s="3">
        <v>11</v>
      </c>
      <c r="E343" s="5" t="s">
        <v>58</v>
      </c>
      <c r="F343" s="3">
        <v>388</v>
      </c>
      <c r="G343" s="5" t="s">
        <v>59</v>
      </c>
      <c r="H343" s="5" t="s">
        <v>56</v>
      </c>
      <c r="I343" s="5" t="s">
        <v>39</v>
      </c>
      <c r="J343" s="5" t="s">
        <v>47</v>
      </c>
      <c r="K343" s="3">
        <v>83</v>
      </c>
      <c r="L343" s="11">
        <f>jewels[[#This Row],[Unit Price]]/(1+40%)</f>
        <v>6200097.8571428573</v>
      </c>
      <c r="M343" s="11">
        <v>8680137</v>
      </c>
      <c r="N343" s="3">
        <v>7</v>
      </c>
      <c r="O343" s="11">
        <f>jewels[[#This Row],[Cost ]]*jewels[[#This Row],[Sales_Qty]]</f>
        <v>43400685</v>
      </c>
      <c r="P343" s="11">
        <v>60760959</v>
      </c>
      <c r="Q343" s="11">
        <f>jewels[[#This Row],[Total Sales Value]]-jewels[[#This Row],[Cost Per Unit]]</f>
        <v>17360274</v>
      </c>
      <c r="R343" s="13">
        <f>jewels[[#This Row],[Profit]]/jewels[[#This Row],[Cost Per Unit]]</f>
        <v>0.4</v>
      </c>
    </row>
    <row r="344" spans="1:18" x14ac:dyDescent="0.25">
      <c r="A344" s="3">
        <v>343</v>
      </c>
      <c r="B344" s="4">
        <v>45344</v>
      </c>
      <c r="C344" s="3">
        <v>2024</v>
      </c>
      <c r="D344" s="3">
        <v>2</v>
      </c>
      <c r="E344" s="5" t="s">
        <v>19</v>
      </c>
      <c r="F344" s="3">
        <v>84</v>
      </c>
      <c r="G344" s="5" t="s">
        <v>25</v>
      </c>
      <c r="H344" s="5" t="s">
        <v>26</v>
      </c>
      <c r="I344" s="5" t="s">
        <v>22</v>
      </c>
      <c r="J344" s="5" t="s">
        <v>50</v>
      </c>
      <c r="K344" s="3">
        <v>78</v>
      </c>
      <c r="L344" s="11">
        <f>jewels[[#This Row],[Unit Price]]/(1+40%)</f>
        <v>2312897.1428571432</v>
      </c>
      <c r="M344" s="11">
        <v>3238056</v>
      </c>
      <c r="N344" s="3">
        <v>7</v>
      </c>
      <c r="O344" s="11">
        <f>jewels[[#This Row],[Cost ]]*jewels[[#This Row],[Sales_Qty]]</f>
        <v>16190280.000000002</v>
      </c>
      <c r="P344" s="11">
        <v>22666392</v>
      </c>
      <c r="Q344" s="11">
        <f>jewels[[#This Row],[Total Sales Value]]-jewels[[#This Row],[Cost Per Unit]]</f>
        <v>6476111.9999999981</v>
      </c>
      <c r="R344" s="13">
        <f>jewels[[#This Row],[Profit]]/jewels[[#This Row],[Cost Per Unit]]</f>
        <v>0.39999999999999986</v>
      </c>
    </row>
    <row r="345" spans="1:18" x14ac:dyDescent="0.25">
      <c r="A345" s="3">
        <v>344</v>
      </c>
      <c r="B345" s="4">
        <v>44557</v>
      </c>
      <c r="C345" s="3">
        <v>2021</v>
      </c>
      <c r="D345" s="3">
        <v>12</v>
      </c>
      <c r="E345" s="5" t="s">
        <v>37</v>
      </c>
      <c r="F345" s="3">
        <v>87</v>
      </c>
      <c r="G345" s="5" t="s">
        <v>25</v>
      </c>
      <c r="H345" s="5" t="s">
        <v>26</v>
      </c>
      <c r="I345" s="5" t="s">
        <v>39</v>
      </c>
      <c r="J345" s="5" t="s">
        <v>44</v>
      </c>
      <c r="K345" s="3">
        <v>85</v>
      </c>
      <c r="L345" s="11">
        <f>jewels[[#This Row],[Unit Price]]/(1+40%)</f>
        <v>3725066.4285714286</v>
      </c>
      <c r="M345" s="11">
        <v>5215093</v>
      </c>
      <c r="N345" s="3">
        <v>7</v>
      </c>
      <c r="O345" s="11">
        <f>jewels[[#This Row],[Cost ]]*jewels[[#This Row],[Sales_Qty]]</f>
        <v>26075465</v>
      </c>
      <c r="P345" s="11">
        <v>36505651</v>
      </c>
      <c r="Q345" s="11">
        <f>jewels[[#This Row],[Total Sales Value]]-jewels[[#This Row],[Cost Per Unit]]</f>
        <v>10430186</v>
      </c>
      <c r="R345" s="13">
        <f>jewels[[#This Row],[Profit]]/jewels[[#This Row],[Cost Per Unit]]</f>
        <v>0.4</v>
      </c>
    </row>
    <row r="346" spans="1:18" x14ac:dyDescent="0.25">
      <c r="A346" s="3">
        <v>345</v>
      </c>
      <c r="B346" s="4">
        <v>43927</v>
      </c>
      <c r="C346" s="3">
        <v>2020</v>
      </c>
      <c r="D346" s="3">
        <v>4</v>
      </c>
      <c r="E346" s="5" t="s">
        <v>24</v>
      </c>
      <c r="F346" s="3">
        <v>315</v>
      </c>
      <c r="G346" s="5" t="s">
        <v>52</v>
      </c>
      <c r="H346" s="5" t="s">
        <v>21</v>
      </c>
      <c r="I346" s="5" t="s">
        <v>40</v>
      </c>
      <c r="J346" s="5" t="s">
        <v>44</v>
      </c>
      <c r="K346" s="3">
        <v>50</v>
      </c>
      <c r="L346" s="11">
        <f>jewels[[#This Row],[Unit Price]]/(1+40%)</f>
        <v>3656529.2857142859</v>
      </c>
      <c r="M346" s="11">
        <v>5119141</v>
      </c>
      <c r="N346" s="3">
        <v>7</v>
      </c>
      <c r="O346" s="11">
        <f>jewels[[#This Row],[Cost ]]*jewels[[#This Row],[Sales_Qty]]</f>
        <v>25595705</v>
      </c>
      <c r="P346" s="11">
        <v>35833987</v>
      </c>
      <c r="Q346" s="11">
        <f>jewels[[#This Row],[Total Sales Value]]-jewels[[#This Row],[Cost Per Unit]]</f>
        <v>10238282</v>
      </c>
      <c r="R346" s="13">
        <f>jewels[[#This Row],[Profit]]/jewels[[#This Row],[Cost Per Unit]]</f>
        <v>0.4</v>
      </c>
    </row>
    <row r="347" spans="1:18" x14ac:dyDescent="0.25">
      <c r="A347" s="3">
        <v>346</v>
      </c>
      <c r="B347" s="4">
        <v>44974</v>
      </c>
      <c r="C347" s="3">
        <v>2023</v>
      </c>
      <c r="D347" s="3">
        <v>2</v>
      </c>
      <c r="E347" s="5" t="s">
        <v>19</v>
      </c>
      <c r="F347" s="3">
        <v>56</v>
      </c>
      <c r="G347" s="5" t="s">
        <v>60</v>
      </c>
      <c r="H347" s="5" t="s">
        <v>16</v>
      </c>
      <c r="I347" s="5" t="s">
        <v>22</v>
      </c>
      <c r="J347" s="5" t="s">
        <v>32</v>
      </c>
      <c r="K347" s="3">
        <v>68</v>
      </c>
      <c r="L347" s="11">
        <f>jewels[[#This Row],[Unit Price]]/(1+40%)</f>
        <v>2398855</v>
      </c>
      <c r="M347" s="11">
        <v>3358397</v>
      </c>
      <c r="N347" s="3">
        <v>2</v>
      </c>
      <c r="O347" s="11">
        <f>jewels[[#This Row],[Cost ]]*jewels[[#This Row],[Sales_Qty]]</f>
        <v>4797710</v>
      </c>
      <c r="P347" s="11">
        <v>6716794</v>
      </c>
      <c r="Q347" s="11">
        <f>jewels[[#This Row],[Total Sales Value]]-jewels[[#This Row],[Cost Per Unit]]</f>
        <v>1919084</v>
      </c>
      <c r="R347" s="13">
        <f>jewels[[#This Row],[Profit]]/jewels[[#This Row],[Cost Per Unit]]</f>
        <v>0.4</v>
      </c>
    </row>
    <row r="348" spans="1:18" x14ac:dyDescent="0.25">
      <c r="A348" s="3">
        <v>347</v>
      </c>
      <c r="B348" s="4">
        <v>44234</v>
      </c>
      <c r="C348" s="3">
        <v>2021</v>
      </c>
      <c r="D348" s="3">
        <v>2</v>
      </c>
      <c r="E348" s="5" t="s">
        <v>19</v>
      </c>
      <c r="F348" s="3">
        <v>184</v>
      </c>
      <c r="G348" s="5" t="s">
        <v>62</v>
      </c>
      <c r="H348" s="5" t="s">
        <v>56</v>
      </c>
      <c r="I348" s="5" t="s">
        <v>40</v>
      </c>
      <c r="J348" s="5" t="s">
        <v>32</v>
      </c>
      <c r="K348" s="3">
        <v>79</v>
      </c>
      <c r="L348" s="11">
        <f>jewels[[#This Row],[Unit Price]]/(1+40%)</f>
        <v>3455226.4285714286</v>
      </c>
      <c r="M348" s="11">
        <v>4837317</v>
      </c>
      <c r="N348" s="3">
        <v>10</v>
      </c>
      <c r="O348" s="11">
        <f>jewels[[#This Row],[Cost ]]*jewels[[#This Row],[Sales_Qty]]</f>
        <v>34552264.285714284</v>
      </c>
      <c r="P348" s="11">
        <v>48373170</v>
      </c>
      <c r="Q348" s="11">
        <f>jewels[[#This Row],[Total Sales Value]]-jewels[[#This Row],[Cost Per Unit]]</f>
        <v>13820905.714285716</v>
      </c>
      <c r="R348" s="13">
        <f>jewels[[#This Row],[Profit]]/jewels[[#This Row],[Cost Per Unit]]</f>
        <v>0.40000000000000008</v>
      </c>
    </row>
    <row r="349" spans="1:18" x14ac:dyDescent="0.25">
      <c r="A349" s="3">
        <v>348</v>
      </c>
      <c r="B349" s="4">
        <v>45032</v>
      </c>
      <c r="C349" s="3">
        <v>2023</v>
      </c>
      <c r="D349" s="3">
        <v>4</v>
      </c>
      <c r="E349" s="5" t="s">
        <v>24</v>
      </c>
      <c r="F349" s="3">
        <v>443</v>
      </c>
      <c r="G349" s="5" t="s">
        <v>46</v>
      </c>
      <c r="H349" s="5" t="s">
        <v>35</v>
      </c>
      <c r="I349" s="5" t="s">
        <v>29</v>
      </c>
      <c r="J349" s="5" t="s">
        <v>50</v>
      </c>
      <c r="K349" s="3">
        <v>81</v>
      </c>
      <c r="L349" s="11">
        <f>jewels[[#This Row],[Unit Price]]/(1+40%)</f>
        <v>2818210.7142857146</v>
      </c>
      <c r="M349" s="11">
        <v>3945495</v>
      </c>
      <c r="N349" s="3">
        <v>5</v>
      </c>
      <c r="O349" s="11">
        <f>jewels[[#This Row],[Cost ]]*jewels[[#This Row],[Sales_Qty]]</f>
        <v>14091053.571428573</v>
      </c>
      <c r="P349" s="11">
        <v>19727475</v>
      </c>
      <c r="Q349" s="11">
        <f>jewels[[#This Row],[Total Sales Value]]-jewels[[#This Row],[Cost Per Unit]]</f>
        <v>5636421.4285714272</v>
      </c>
      <c r="R349" s="13">
        <f>jewels[[#This Row],[Profit]]/jewels[[#This Row],[Cost Per Unit]]</f>
        <v>0.39999999999999986</v>
      </c>
    </row>
    <row r="350" spans="1:18" x14ac:dyDescent="0.25">
      <c r="A350" s="3">
        <v>349</v>
      </c>
      <c r="B350" s="4">
        <v>43930</v>
      </c>
      <c r="C350" s="3">
        <v>2020</v>
      </c>
      <c r="D350" s="3">
        <v>4</v>
      </c>
      <c r="E350" s="5" t="s">
        <v>24</v>
      </c>
      <c r="F350" s="3">
        <v>379</v>
      </c>
      <c r="G350" s="5" t="s">
        <v>34</v>
      </c>
      <c r="H350" s="5" t="s">
        <v>35</v>
      </c>
      <c r="I350" s="5" t="s">
        <v>17</v>
      </c>
      <c r="J350" s="5" t="s">
        <v>30</v>
      </c>
      <c r="K350" s="3">
        <v>85</v>
      </c>
      <c r="L350" s="11">
        <f>jewels[[#This Row],[Unit Price]]/(1+40%)</f>
        <v>4652727.1428571427</v>
      </c>
      <c r="M350" s="11">
        <v>6513818</v>
      </c>
      <c r="N350" s="3">
        <v>1</v>
      </c>
      <c r="O350" s="11">
        <f>jewels[[#This Row],[Cost ]]*jewels[[#This Row],[Sales_Qty]]</f>
        <v>4652727.1428571427</v>
      </c>
      <c r="P350" s="11">
        <v>6513818</v>
      </c>
      <c r="Q350" s="11">
        <f>jewels[[#This Row],[Total Sales Value]]-jewels[[#This Row],[Cost Per Unit]]</f>
        <v>1861090.8571428573</v>
      </c>
      <c r="R350" s="13">
        <f>jewels[[#This Row],[Profit]]/jewels[[#This Row],[Cost Per Unit]]</f>
        <v>0.4</v>
      </c>
    </row>
    <row r="351" spans="1:18" x14ac:dyDescent="0.25">
      <c r="A351" s="3">
        <v>350</v>
      </c>
      <c r="B351" s="4">
        <v>45108</v>
      </c>
      <c r="C351" s="3">
        <v>2023</v>
      </c>
      <c r="D351" s="3">
        <v>7</v>
      </c>
      <c r="E351" s="5" t="s">
        <v>49</v>
      </c>
      <c r="F351" s="3">
        <v>418</v>
      </c>
      <c r="G351" s="5" t="s">
        <v>25</v>
      </c>
      <c r="H351" s="5" t="s">
        <v>26</v>
      </c>
      <c r="I351" s="5" t="s">
        <v>29</v>
      </c>
      <c r="J351" s="5" t="s">
        <v>50</v>
      </c>
      <c r="K351" s="3">
        <v>68</v>
      </c>
      <c r="L351" s="11">
        <f>jewels[[#This Row],[Unit Price]]/(1+40%)</f>
        <v>3935095.7142857146</v>
      </c>
      <c r="M351" s="11">
        <v>5509134</v>
      </c>
      <c r="N351" s="3">
        <v>1</v>
      </c>
      <c r="O351" s="11">
        <f>jewels[[#This Row],[Cost ]]*jewels[[#This Row],[Sales_Qty]]</f>
        <v>3935095.7142857146</v>
      </c>
      <c r="P351" s="11">
        <v>5509134</v>
      </c>
      <c r="Q351" s="11">
        <f>jewels[[#This Row],[Total Sales Value]]-jewels[[#This Row],[Cost Per Unit]]</f>
        <v>1574038.2857142854</v>
      </c>
      <c r="R351" s="13">
        <f>jewels[[#This Row],[Profit]]/jewels[[#This Row],[Cost Per Unit]]</f>
        <v>0.39999999999999991</v>
      </c>
    </row>
    <row r="352" spans="1:18" x14ac:dyDescent="0.25">
      <c r="A352" s="3">
        <v>351</v>
      </c>
      <c r="B352" s="4">
        <v>44225</v>
      </c>
      <c r="C352" s="3">
        <v>2021</v>
      </c>
      <c r="D352" s="3">
        <v>1</v>
      </c>
      <c r="E352" s="5" t="s">
        <v>41</v>
      </c>
      <c r="F352" s="3">
        <v>335</v>
      </c>
      <c r="G352" s="5" t="s">
        <v>60</v>
      </c>
      <c r="H352" s="5" t="s">
        <v>16</v>
      </c>
      <c r="I352" s="5" t="s">
        <v>27</v>
      </c>
      <c r="J352" s="5" t="s">
        <v>32</v>
      </c>
      <c r="K352" s="3">
        <v>53</v>
      </c>
      <c r="L352" s="11">
        <f>jewels[[#This Row],[Unit Price]]/(1+40%)</f>
        <v>4939814.2857142864</v>
      </c>
      <c r="M352" s="11">
        <v>6915740</v>
      </c>
      <c r="N352" s="3">
        <v>9</v>
      </c>
      <c r="O352" s="11">
        <f>jewels[[#This Row],[Cost ]]*jewels[[#This Row],[Sales_Qty]]</f>
        <v>44458328.571428575</v>
      </c>
      <c r="P352" s="11">
        <v>62241660</v>
      </c>
      <c r="Q352" s="11">
        <f>jewels[[#This Row],[Total Sales Value]]-jewels[[#This Row],[Cost Per Unit]]</f>
        <v>17783331.428571425</v>
      </c>
      <c r="R352" s="13">
        <f>jewels[[#This Row],[Profit]]/jewels[[#This Row],[Cost Per Unit]]</f>
        <v>0.39999999999999991</v>
      </c>
    </row>
    <row r="353" spans="1:18" x14ac:dyDescent="0.25">
      <c r="A353" s="3">
        <v>352</v>
      </c>
      <c r="B353" s="4">
        <v>44793</v>
      </c>
      <c r="C353" s="3">
        <v>2022</v>
      </c>
      <c r="D353" s="3">
        <v>8</v>
      </c>
      <c r="E353" s="5" t="s">
        <v>51</v>
      </c>
      <c r="F353" s="3">
        <v>280</v>
      </c>
      <c r="G353" s="5" t="s">
        <v>63</v>
      </c>
      <c r="H353" s="5" t="s">
        <v>21</v>
      </c>
      <c r="I353" s="5" t="s">
        <v>39</v>
      </c>
      <c r="J353" s="5" t="s">
        <v>47</v>
      </c>
      <c r="K353" s="3">
        <v>97</v>
      </c>
      <c r="L353" s="11">
        <f>jewels[[#This Row],[Unit Price]]/(1+40%)</f>
        <v>2206667.8571428573</v>
      </c>
      <c r="M353" s="11">
        <v>3089335</v>
      </c>
      <c r="N353" s="3">
        <v>1</v>
      </c>
      <c r="O353" s="11">
        <f>jewels[[#This Row],[Cost ]]*jewels[[#This Row],[Sales_Qty]]</f>
        <v>2206667.8571428573</v>
      </c>
      <c r="P353" s="11">
        <v>3089335</v>
      </c>
      <c r="Q353" s="11">
        <f>jewels[[#This Row],[Total Sales Value]]-jewels[[#This Row],[Cost Per Unit]]</f>
        <v>882667.14285714272</v>
      </c>
      <c r="R353" s="13">
        <f>jewels[[#This Row],[Profit]]/jewels[[#This Row],[Cost Per Unit]]</f>
        <v>0.39999999999999991</v>
      </c>
    </row>
    <row r="354" spans="1:18" x14ac:dyDescent="0.25">
      <c r="A354" s="3">
        <v>353</v>
      </c>
      <c r="B354" s="4">
        <v>44591</v>
      </c>
      <c r="C354" s="3">
        <v>2022</v>
      </c>
      <c r="D354" s="3">
        <v>1</v>
      </c>
      <c r="E354" s="5" t="s">
        <v>41</v>
      </c>
      <c r="F354" s="3">
        <v>391</v>
      </c>
      <c r="G354" s="5" t="s">
        <v>64</v>
      </c>
      <c r="H354" s="5" t="s">
        <v>26</v>
      </c>
      <c r="I354" s="5" t="s">
        <v>27</v>
      </c>
      <c r="J354" s="5" t="s">
        <v>32</v>
      </c>
      <c r="K354" s="3">
        <v>88</v>
      </c>
      <c r="L354" s="11">
        <f>jewels[[#This Row],[Unit Price]]/(1+40%)</f>
        <v>2569276.4285714286</v>
      </c>
      <c r="M354" s="11">
        <v>3596987</v>
      </c>
      <c r="N354" s="3">
        <v>5</v>
      </c>
      <c r="O354" s="11">
        <f>jewels[[#This Row],[Cost ]]*jewels[[#This Row],[Sales_Qty]]</f>
        <v>12846382.142857144</v>
      </c>
      <c r="P354" s="11">
        <v>17984935</v>
      </c>
      <c r="Q354" s="11">
        <f>jewels[[#This Row],[Total Sales Value]]-jewels[[#This Row],[Cost Per Unit]]</f>
        <v>5138552.8571428563</v>
      </c>
      <c r="R354" s="13">
        <f>jewels[[#This Row],[Profit]]/jewels[[#This Row],[Cost Per Unit]]</f>
        <v>0.39999999999999991</v>
      </c>
    </row>
    <row r="355" spans="1:18" x14ac:dyDescent="0.25">
      <c r="A355" s="3">
        <v>354</v>
      </c>
      <c r="B355" s="4">
        <v>44012</v>
      </c>
      <c r="C355" s="3">
        <v>2020</v>
      </c>
      <c r="D355" s="3">
        <v>6</v>
      </c>
      <c r="E355" s="5" t="s">
        <v>14</v>
      </c>
      <c r="F355" s="3">
        <v>133</v>
      </c>
      <c r="G355" s="5" t="s">
        <v>54</v>
      </c>
      <c r="H355" s="5" t="s">
        <v>21</v>
      </c>
      <c r="I355" s="5" t="s">
        <v>27</v>
      </c>
      <c r="J355" s="5" t="s">
        <v>32</v>
      </c>
      <c r="K355" s="3">
        <v>88</v>
      </c>
      <c r="L355" s="11">
        <f>jewels[[#This Row],[Unit Price]]/(1+40%)</f>
        <v>5770351.4285714291</v>
      </c>
      <c r="M355" s="11">
        <v>8078492</v>
      </c>
      <c r="N355" s="3">
        <v>10</v>
      </c>
      <c r="O355" s="11">
        <f>jewels[[#This Row],[Cost ]]*jewels[[#This Row],[Sales_Qty]]</f>
        <v>57703514.285714291</v>
      </c>
      <c r="P355" s="11">
        <v>80784920</v>
      </c>
      <c r="Q355" s="11">
        <f>jewels[[#This Row],[Total Sales Value]]-jewels[[#This Row],[Cost Per Unit]]</f>
        <v>23081405.714285709</v>
      </c>
      <c r="R355" s="13">
        <f>jewels[[#This Row],[Profit]]/jewels[[#This Row],[Cost Per Unit]]</f>
        <v>0.39999999999999986</v>
      </c>
    </row>
    <row r="356" spans="1:18" x14ac:dyDescent="0.25">
      <c r="A356" s="3">
        <v>355</v>
      </c>
      <c r="B356" s="4">
        <v>44381</v>
      </c>
      <c r="C356" s="3">
        <v>2021</v>
      </c>
      <c r="D356" s="3">
        <v>7</v>
      </c>
      <c r="E356" s="5" t="s">
        <v>49</v>
      </c>
      <c r="F356" s="3">
        <v>137</v>
      </c>
      <c r="G356" s="5" t="s">
        <v>42</v>
      </c>
      <c r="H356" s="5" t="s">
        <v>26</v>
      </c>
      <c r="I356" s="5" t="s">
        <v>27</v>
      </c>
      <c r="J356" s="5" t="s">
        <v>45</v>
      </c>
      <c r="K356" s="3">
        <v>87</v>
      </c>
      <c r="L356" s="11">
        <f>jewels[[#This Row],[Unit Price]]/(1+40%)</f>
        <v>575337.14285714284</v>
      </c>
      <c r="M356" s="11">
        <v>805472</v>
      </c>
      <c r="N356" s="3">
        <v>5</v>
      </c>
      <c r="O356" s="11">
        <f>jewels[[#This Row],[Cost ]]*jewels[[#This Row],[Sales_Qty]]</f>
        <v>2876685.7142857141</v>
      </c>
      <c r="P356" s="11">
        <v>4027360</v>
      </c>
      <c r="Q356" s="11">
        <f>jewels[[#This Row],[Total Sales Value]]-jewels[[#This Row],[Cost Per Unit]]</f>
        <v>1150674.2857142859</v>
      </c>
      <c r="R356" s="13">
        <f>jewels[[#This Row],[Profit]]/jewels[[#This Row],[Cost Per Unit]]</f>
        <v>0.40000000000000008</v>
      </c>
    </row>
    <row r="357" spans="1:18" x14ac:dyDescent="0.25">
      <c r="A357" s="3">
        <v>356</v>
      </c>
      <c r="B357" s="4">
        <v>45004</v>
      </c>
      <c r="C357" s="3">
        <v>2023</v>
      </c>
      <c r="D357" s="3">
        <v>3</v>
      </c>
      <c r="E357" s="5" t="s">
        <v>43</v>
      </c>
      <c r="F357" s="3">
        <v>455</v>
      </c>
      <c r="G357" s="5" t="s">
        <v>34</v>
      </c>
      <c r="H357" s="5" t="s">
        <v>35</v>
      </c>
      <c r="I357" s="5" t="s">
        <v>22</v>
      </c>
      <c r="J357" s="5" t="s">
        <v>47</v>
      </c>
      <c r="K357" s="3">
        <v>100</v>
      </c>
      <c r="L357" s="11">
        <f>jewels[[#This Row],[Unit Price]]/(1+40%)</f>
        <v>4870450</v>
      </c>
      <c r="M357" s="11">
        <v>6818630</v>
      </c>
      <c r="N357" s="3">
        <v>2</v>
      </c>
      <c r="O357" s="11">
        <f>jewels[[#This Row],[Cost ]]*jewels[[#This Row],[Sales_Qty]]</f>
        <v>9740900</v>
      </c>
      <c r="P357" s="11">
        <v>13637260</v>
      </c>
      <c r="Q357" s="11">
        <f>jewels[[#This Row],[Total Sales Value]]-jewels[[#This Row],[Cost Per Unit]]</f>
        <v>3896360</v>
      </c>
      <c r="R357" s="13">
        <f>jewels[[#This Row],[Profit]]/jewels[[#This Row],[Cost Per Unit]]</f>
        <v>0.4</v>
      </c>
    </row>
    <row r="358" spans="1:18" x14ac:dyDescent="0.25">
      <c r="A358" s="3">
        <v>357</v>
      </c>
      <c r="B358" s="4">
        <v>44675</v>
      </c>
      <c r="C358" s="3">
        <v>2022</v>
      </c>
      <c r="D358" s="3">
        <v>4</v>
      </c>
      <c r="E358" s="5" t="s">
        <v>24</v>
      </c>
      <c r="F358" s="3">
        <v>238</v>
      </c>
      <c r="G358" s="5" t="s">
        <v>62</v>
      </c>
      <c r="H358" s="5" t="s">
        <v>56</v>
      </c>
      <c r="I358" s="5" t="s">
        <v>22</v>
      </c>
      <c r="J358" s="5" t="s">
        <v>45</v>
      </c>
      <c r="K358" s="3">
        <v>70</v>
      </c>
      <c r="L358" s="11">
        <f>jewels[[#This Row],[Unit Price]]/(1+40%)</f>
        <v>2172994.2857142859</v>
      </c>
      <c r="M358" s="11">
        <v>3042192</v>
      </c>
      <c r="N358" s="3">
        <v>4</v>
      </c>
      <c r="O358" s="11">
        <f>jewels[[#This Row],[Cost ]]*jewels[[#This Row],[Sales_Qty]]</f>
        <v>8691977.1428571437</v>
      </c>
      <c r="P358" s="11">
        <v>12168768</v>
      </c>
      <c r="Q358" s="11">
        <f>jewels[[#This Row],[Total Sales Value]]-jewels[[#This Row],[Cost Per Unit]]</f>
        <v>3476790.8571428563</v>
      </c>
      <c r="R358" s="13">
        <f>jewels[[#This Row],[Profit]]/jewels[[#This Row],[Cost Per Unit]]</f>
        <v>0.39999999999999986</v>
      </c>
    </row>
    <row r="359" spans="1:18" x14ac:dyDescent="0.25">
      <c r="A359" s="3">
        <v>358</v>
      </c>
      <c r="B359" s="4">
        <v>44302</v>
      </c>
      <c r="C359" s="3">
        <v>2021</v>
      </c>
      <c r="D359" s="3">
        <v>4</v>
      </c>
      <c r="E359" s="5" t="s">
        <v>24</v>
      </c>
      <c r="F359" s="3">
        <v>365</v>
      </c>
      <c r="G359" s="5" t="s">
        <v>20</v>
      </c>
      <c r="H359" s="5" t="s">
        <v>21</v>
      </c>
      <c r="I359" s="5" t="s">
        <v>29</v>
      </c>
      <c r="J359" s="5" t="s">
        <v>28</v>
      </c>
      <c r="K359" s="3">
        <v>50</v>
      </c>
      <c r="L359" s="11">
        <f>jewels[[#This Row],[Unit Price]]/(1+40%)</f>
        <v>2957188.5714285718</v>
      </c>
      <c r="M359" s="11">
        <v>4140064</v>
      </c>
      <c r="N359" s="3">
        <v>6</v>
      </c>
      <c r="O359" s="11">
        <f>jewels[[#This Row],[Cost ]]*jewels[[#This Row],[Sales_Qty]]</f>
        <v>17743131.428571433</v>
      </c>
      <c r="P359" s="11">
        <v>24840384</v>
      </c>
      <c r="Q359" s="11">
        <f>jewels[[#This Row],[Total Sales Value]]-jewels[[#This Row],[Cost Per Unit]]</f>
        <v>7097252.5714285672</v>
      </c>
      <c r="R359" s="13">
        <f>jewels[[#This Row],[Profit]]/jewels[[#This Row],[Cost Per Unit]]</f>
        <v>0.39999999999999969</v>
      </c>
    </row>
    <row r="360" spans="1:18" x14ac:dyDescent="0.25">
      <c r="A360" s="3">
        <v>359</v>
      </c>
      <c r="B360" s="4">
        <v>44891</v>
      </c>
      <c r="C360" s="3">
        <v>2022</v>
      </c>
      <c r="D360" s="3">
        <v>11</v>
      </c>
      <c r="E360" s="5" t="s">
        <v>58</v>
      </c>
      <c r="F360" s="3">
        <v>142</v>
      </c>
      <c r="G360" s="5" t="s">
        <v>63</v>
      </c>
      <c r="H360" s="5" t="s">
        <v>21</v>
      </c>
      <c r="I360" s="5" t="s">
        <v>40</v>
      </c>
      <c r="J360" s="5" t="s">
        <v>28</v>
      </c>
      <c r="K360" s="3">
        <v>54</v>
      </c>
      <c r="L360" s="11">
        <f>jewels[[#This Row],[Unit Price]]/(1+40%)</f>
        <v>2778273.5714285718</v>
      </c>
      <c r="M360" s="11">
        <v>3889583</v>
      </c>
      <c r="N360" s="3">
        <v>5</v>
      </c>
      <c r="O360" s="11">
        <f>jewels[[#This Row],[Cost ]]*jewels[[#This Row],[Sales_Qty]]</f>
        <v>13891367.857142858</v>
      </c>
      <c r="P360" s="11">
        <v>19447915</v>
      </c>
      <c r="Q360" s="11">
        <f>jewels[[#This Row],[Total Sales Value]]-jewels[[#This Row],[Cost Per Unit]]</f>
        <v>5556547.1428571418</v>
      </c>
      <c r="R360" s="13">
        <f>jewels[[#This Row],[Profit]]/jewels[[#This Row],[Cost Per Unit]]</f>
        <v>0.39999999999999991</v>
      </c>
    </row>
    <row r="361" spans="1:18" x14ac:dyDescent="0.25">
      <c r="A361" s="3">
        <v>360</v>
      </c>
      <c r="B361" s="4">
        <v>44514</v>
      </c>
      <c r="C361" s="3">
        <v>2021</v>
      </c>
      <c r="D361" s="3">
        <v>11</v>
      </c>
      <c r="E361" s="5" t="s">
        <v>58</v>
      </c>
      <c r="F361" s="3">
        <v>286</v>
      </c>
      <c r="G361" s="5" t="s">
        <v>60</v>
      </c>
      <c r="H361" s="5" t="s">
        <v>16</v>
      </c>
      <c r="I361" s="5" t="s">
        <v>17</v>
      </c>
      <c r="J361" s="5" t="s">
        <v>45</v>
      </c>
      <c r="K361" s="3">
        <v>75</v>
      </c>
      <c r="L361" s="11">
        <f>jewels[[#This Row],[Unit Price]]/(1+40%)</f>
        <v>2647582.1428571432</v>
      </c>
      <c r="M361" s="11">
        <v>3706615</v>
      </c>
      <c r="N361" s="3">
        <v>1</v>
      </c>
      <c r="O361" s="11">
        <f>jewels[[#This Row],[Cost ]]*jewels[[#This Row],[Sales_Qty]]</f>
        <v>2647582.1428571432</v>
      </c>
      <c r="P361" s="11">
        <v>3706615</v>
      </c>
      <c r="Q361" s="11">
        <f>jewels[[#This Row],[Total Sales Value]]-jewels[[#This Row],[Cost Per Unit]]</f>
        <v>1059032.8571428568</v>
      </c>
      <c r="R361" s="13">
        <f>jewels[[#This Row],[Profit]]/jewels[[#This Row],[Cost Per Unit]]</f>
        <v>0.3999999999999998</v>
      </c>
    </row>
    <row r="362" spans="1:18" x14ac:dyDescent="0.25">
      <c r="A362" s="3">
        <v>361</v>
      </c>
      <c r="B362" s="4">
        <v>44838</v>
      </c>
      <c r="C362" s="3">
        <v>2022</v>
      </c>
      <c r="D362" s="3">
        <v>10</v>
      </c>
      <c r="E362" s="5" t="s">
        <v>61</v>
      </c>
      <c r="F362" s="3">
        <v>485</v>
      </c>
      <c r="G362" s="5" t="s">
        <v>38</v>
      </c>
      <c r="H362" s="5" t="s">
        <v>35</v>
      </c>
      <c r="I362" s="5" t="s">
        <v>27</v>
      </c>
      <c r="J362" s="5" t="s">
        <v>44</v>
      </c>
      <c r="K362" s="3">
        <v>72</v>
      </c>
      <c r="L362" s="11">
        <f>jewels[[#This Row],[Unit Price]]/(1+40%)</f>
        <v>5892565</v>
      </c>
      <c r="M362" s="11">
        <v>8249591</v>
      </c>
      <c r="N362" s="3">
        <v>10</v>
      </c>
      <c r="O362" s="11">
        <f>jewels[[#This Row],[Cost ]]*jewels[[#This Row],[Sales_Qty]]</f>
        <v>58925650</v>
      </c>
      <c r="P362" s="11">
        <v>82495910</v>
      </c>
      <c r="Q362" s="11">
        <f>jewels[[#This Row],[Total Sales Value]]-jewels[[#This Row],[Cost Per Unit]]</f>
        <v>23570260</v>
      </c>
      <c r="R362" s="13">
        <f>jewels[[#This Row],[Profit]]/jewels[[#This Row],[Cost Per Unit]]</f>
        <v>0.4</v>
      </c>
    </row>
    <row r="363" spans="1:18" x14ac:dyDescent="0.25">
      <c r="A363" s="3">
        <v>362</v>
      </c>
      <c r="B363" s="4">
        <v>44704</v>
      </c>
      <c r="C363" s="3">
        <v>2022</v>
      </c>
      <c r="D363" s="3">
        <v>5</v>
      </c>
      <c r="E363" s="5" t="s">
        <v>53</v>
      </c>
      <c r="F363" s="3">
        <v>406</v>
      </c>
      <c r="G363" s="5" t="s">
        <v>15</v>
      </c>
      <c r="H363" s="5" t="s">
        <v>16</v>
      </c>
      <c r="I363" s="5" t="s">
        <v>39</v>
      </c>
      <c r="J363" s="5" t="s">
        <v>23</v>
      </c>
      <c r="K363" s="3">
        <v>69</v>
      </c>
      <c r="L363" s="11">
        <f>jewels[[#This Row],[Unit Price]]/(1+40%)</f>
        <v>6128122.8571428573</v>
      </c>
      <c r="M363" s="11">
        <v>8579372</v>
      </c>
      <c r="N363" s="3">
        <v>4</v>
      </c>
      <c r="O363" s="11">
        <f>jewels[[#This Row],[Cost ]]*jewels[[#This Row],[Sales_Qty]]</f>
        <v>24512491.428571429</v>
      </c>
      <c r="P363" s="11">
        <v>34317488</v>
      </c>
      <c r="Q363" s="11">
        <f>jewels[[#This Row],[Total Sales Value]]-jewels[[#This Row],[Cost Per Unit]]</f>
        <v>9804996.5714285709</v>
      </c>
      <c r="R363" s="13">
        <f>jewels[[#This Row],[Profit]]/jewels[[#This Row],[Cost Per Unit]]</f>
        <v>0.39999999999999997</v>
      </c>
    </row>
    <row r="364" spans="1:18" x14ac:dyDescent="0.25">
      <c r="A364" s="3">
        <v>363</v>
      </c>
      <c r="B364" s="4">
        <v>45012</v>
      </c>
      <c r="C364" s="3">
        <v>2023</v>
      </c>
      <c r="D364" s="3">
        <v>3</v>
      </c>
      <c r="E364" s="5" t="s">
        <v>43</v>
      </c>
      <c r="F364" s="3">
        <v>421</v>
      </c>
      <c r="G364" s="5" t="s">
        <v>55</v>
      </c>
      <c r="H364" s="5" t="s">
        <v>56</v>
      </c>
      <c r="I364" s="5" t="s">
        <v>27</v>
      </c>
      <c r="J364" s="5" t="s">
        <v>45</v>
      </c>
      <c r="K364" s="3">
        <v>88</v>
      </c>
      <c r="L364" s="11">
        <f>jewels[[#This Row],[Unit Price]]/(1+40%)</f>
        <v>4338072.8571428573</v>
      </c>
      <c r="M364" s="11">
        <v>6073302</v>
      </c>
      <c r="N364" s="3">
        <v>8</v>
      </c>
      <c r="O364" s="11">
        <f>jewels[[#This Row],[Cost ]]*jewels[[#This Row],[Sales_Qty]]</f>
        <v>34704582.857142858</v>
      </c>
      <c r="P364" s="11">
        <v>48586416</v>
      </c>
      <c r="Q364" s="11">
        <f>jewels[[#This Row],[Total Sales Value]]-jewels[[#This Row],[Cost Per Unit]]</f>
        <v>13881833.142857142</v>
      </c>
      <c r="R364" s="13">
        <f>jewels[[#This Row],[Profit]]/jewels[[#This Row],[Cost Per Unit]]</f>
        <v>0.39999999999999997</v>
      </c>
    </row>
    <row r="365" spans="1:18" x14ac:dyDescent="0.25">
      <c r="A365" s="3">
        <v>364</v>
      </c>
      <c r="B365" s="4">
        <v>44461</v>
      </c>
      <c r="C365" s="3">
        <v>2021</v>
      </c>
      <c r="D365" s="3">
        <v>9</v>
      </c>
      <c r="E365" s="5" t="s">
        <v>33</v>
      </c>
      <c r="F365" s="3">
        <v>238</v>
      </c>
      <c r="G365" s="5" t="s">
        <v>59</v>
      </c>
      <c r="H365" s="5" t="s">
        <v>56</v>
      </c>
      <c r="I365" s="5" t="s">
        <v>27</v>
      </c>
      <c r="J365" s="5" t="s">
        <v>28</v>
      </c>
      <c r="K365" s="3">
        <v>70</v>
      </c>
      <c r="L365" s="11">
        <f>jewels[[#This Row],[Unit Price]]/(1+40%)</f>
        <v>5376257.8571428573</v>
      </c>
      <c r="M365" s="11">
        <v>7526761</v>
      </c>
      <c r="N365" s="3">
        <v>2</v>
      </c>
      <c r="O365" s="11">
        <f>jewels[[#This Row],[Cost ]]*jewels[[#This Row],[Sales_Qty]]</f>
        <v>10752515.714285715</v>
      </c>
      <c r="P365" s="11">
        <v>15053522</v>
      </c>
      <c r="Q365" s="11">
        <f>jewels[[#This Row],[Total Sales Value]]-jewels[[#This Row],[Cost Per Unit]]</f>
        <v>4301006.2857142854</v>
      </c>
      <c r="R365" s="13">
        <f>jewels[[#This Row],[Profit]]/jewels[[#This Row],[Cost Per Unit]]</f>
        <v>0.39999999999999997</v>
      </c>
    </row>
    <row r="366" spans="1:18" x14ac:dyDescent="0.25">
      <c r="A366" s="3">
        <v>365</v>
      </c>
      <c r="B366" s="4">
        <v>44754</v>
      </c>
      <c r="C366" s="3">
        <v>2022</v>
      </c>
      <c r="D366" s="3">
        <v>7</v>
      </c>
      <c r="E366" s="5" t="s">
        <v>49</v>
      </c>
      <c r="F366" s="3">
        <v>32</v>
      </c>
      <c r="G366" s="5" t="s">
        <v>25</v>
      </c>
      <c r="H366" s="5" t="s">
        <v>26</v>
      </c>
      <c r="I366" s="5" t="s">
        <v>40</v>
      </c>
      <c r="J366" s="5" t="s">
        <v>28</v>
      </c>
      <c r="K366" s="3">
        <v>70</v>
      </c>
      <c r="L366" s="11">
        <f>jewels[[#This Row],[Unit Price]]/(1+40%)</f>
        <v>6098915.7142857146</v>
      </c>
      <c r="M366" s="11">
        <v>8538482</v>
      </c>
      <c r="N366" s="3">
        <v>9</v>
      </c>
      <c r="O366" s="11">
        <f>jewels[[#This Row],[Cost ]]*jewels[[#This Row],[Sales_Qty]]</f>
        <v>54890241.428571433</v>
      </c>
      <c r="P366" s="11">
        <v>76846338</v>
      </c>
      <c r="Q366" s="11">
        <f>jewels[[#This Row],[Total Sales Value]]-jewels[[#This Row],[Cost Per Unit]]</f>
        <v>21956096.571428567</v>
      </c>
      <c r="R366" s="13">
        <f>jewels[[#This Row],[Profit]]/jewels[[#This Row],[Cost Per Unit]]</f>
        <v>0.39999999999999991</v>
      </c>
    </row>
    <row r="367" spans="1:18" x14ac:dyDescent="0.25">
      <c r="A367" s="3">
        <v>366</v>
      </c>
      <c r="B367" s="4">
        <v>44904</v>
      </c>
      <c r="C367" s="3">
        <v>2022</v>
      </c>
      <c r="D367" s="3">
        <v>12</v>
      </c>
      <c r="E367" s="5" t="s">
        <v>37</v>
      </c>
      <c r="F367" s="3">
        <v>297</v>
      </c>
      <c r="G367" s="5" t="s">
        <v>60</v>
      </c>
      <c r="H367" s="5" t="s">
        <v>16</v>
      </c>
      <c r="I367" s="5" t="s">
        <v>17</v>
      </c>
      <c r="J367" s="5" t="s">
        <v>28</v>
      </c>
      <c r="K367" s="3">
        <v>81</v>
      </c>
      <c r="L367" s="11">
        <f>jewels[[#This Row],[Unit Price]]/(1+40%)</f>
        <v>7101506.4285714291</v>
      </c>
      <c r="M367" s="11">
        <v>9942109</v>
      </c>
      <c r="N367" s="3">
        <v>7</v>
      </c>
      <c r="O367" s="11">
        <f>jewels[[#This Row],[Cost ]]*jewels[[#This Row],[Sales_Qty]]</f>
        <v>49710545</v>
      </c>
      <c r="P367" s="11">
        <v>69594763</v>
      </c>
      <c r="Q367" s="11">
        <f>jewels[[#This Row],[Total Sales Value]]-jewels[[#This Row],[Cost Per Unit]]</f>
        <v>19884218</v>
      </c>
      <c r="R367" s="13">
        <f>jewels[[#This Row],[Profit]]/jewels[[#This Row],[Cost Per Unit]]</f>
        <v>0.4</v>
      </c>
    </row>
    <row r="368" spans="1:18" x14ac:dyDescent="0.25">
      <c r="A368" s="3">
        <v>367</v>
      </c>
      <c r="B368" s="4">
        <v>44002</v>
      </c>
      <c r="C368" s="3">
        <v>2020</v>
      </c>
      <c r="D368" s="3">
        <v>6</v>
      </c>
      <c r="E368" s="5" t="s">
        <v>14</v>
      </c>
      <c r="F368" s="3">
        <v>281</v>
      </c>
      <c r="G368" s="5" t="s">
        <v>60</v>
      </c>
      <c r="H368" s="5" t="s">
        <v>16</v>
      </c>
      <c r="I368" s="5" t="s">
        <v>27</v>
      </c>
      <c r="J368" s="5" t="s">
        <v>45</v>
      </c>
      <c r="K368" s="3">
        <v>71</v>
      </c>
      <c r="L368" s="11">
        <f>jewels[[#This Row],[Unit Price]]/(1+40%)</f>
        <v>5798762.8571428573</v>
      </c>
      <c r="M368" s="11">
        <v>8118268</v>
      </c>
      <c r="N368" s="3">
        <v>8</v>
      </c>
      <c r="O368" s="11">
        <f>jewels[[#This Row],[Cost ]]*jewels[[#This Row],[Sales_Qty]]</f>
        <v>46390102.857142858</v>
      </c>
      <c r="P368" s="11">
        <v>64946144</v>
      </c>
      <c r="Q368" s="11">
        <f>jewels[[#This Row],[Total Sales Value]]-jewels[[#This Row],[Cost Per Unit]]</f>
        <v>18556041.142857142</v>
      </c>
      <c r="R368" s="13">
        <f>jewels[[#This Row],[Profit]]/jewels[[#This Row],[Cost Per Unit]]</f>
        <v>0.39999999999999997</v>
      </c>
    </row>
    <row r="369" spans="1:18" x14ac:dyDescent="0.25">
      <c r="A369" s="3">
        <v>368</v>
      </c>
      <c r="B369" s="4">
        <v>44258</v>
      </c>
      <c r="C369" s="3">
        <v>2021</v>
      </c>
      <c r="D369" s="3">
        <v>3</v>
      </c>
      <c r="E369" s="5" t="s">
        <v>43</v>
      </c>
      <c r="F369" s="3">
        <v>372</v>
      </c>
      <c r="G369" s="5" t="s">
        <v>46</v>
      </c>
      <c r="H369" s="5" t="s">
        <v>35</v>
      </c>
      <c r="I369" s="5" t="s">
        <v>40</v>
      </c>
      <c r="J369" s="5" t="s">
        <v>30</v>
      </c>
      <c r="K369" s="3">
        <v>52</v>
      </c>
      <c r="L369" s="11">
        <f>jewels[[#This Row],[Unit Price]]/(1+40%)</f>
        <v>3567592.1428571432</v>
      </c>
      <c r="M369" s="11">
        <v>4994629</v>
      </c>
      <c r="N369" s="3">
        <v>1</v>
      </c>
      <c r="O369" s="11">
        <f>jewels[[#This Row],[Cost ]]*jewels[[#This Row],[Sales_Qty]]</f>
        <v>3567592.1428571432</v>
      </c>
      <c r="P369" s="11">
        <v>4994629</v>
      </c>
      <c r="Q369" s="11">
        <f>jewels[[#This Row],[Total Sales Value]]-jewels[[#This Row],[Cost Per Unit]]</f>
        <v>1427036.8571428568</v>
      </c>
      <c r="R369" s="13">
        <f>jewels[[#This Row],[Profit]]/jewels[[#This Row],[Cost Per Unit]]</f>
        <v>0.39999999999999986</v>
      </c>
    </row>
    <row r="370" spans="1:18" x14ac:dyDescent="0.25">
      <c r="A370" s="3">
        <v>369</v>
      </c>
      <c r="B370" s="4">
        <v>44062</v>
      </c>
      <c r="C370" s="3">
        <v>2020</v>
      </c>
      <c r="D370" s="3">
        <v>8</v>
      </c>
      <c r="E370" s="5" t="s">
        <v>51</v>
      </c>
      <c r="F370" s="3">
        <v>495</v>
      </c>
      <c r="G370" s="5" t="s">
        <v>15</v>
      </c>
      <c r="H370" s="5" t="s">
        <v>16</v>
      </c>
      <c r="I370" s="5" t="s">
        <v>39</v>
      </c>
      <c r="J370" s="5" t="s">
        <v>28</v>
      </c>
      <c r="K370" s="3">
        <v>87</v>
      </c>
      <c r="L370" s="11">
        <f>jewels[[#This Row],[Unit Price]]/(1+40%)</f>
        <v>1468594.2857142859</v>
      </c>
      <c r="M370" s="11">
        <v>2056032</v>
      </c>
      <c r="N370" s="3">
        <v>3</v>
      </c>
      <c r="O370" s="11">
        <f>jewels[[#This Row],[Cost ]]*jewels[[#This Row],[Sales_Qty]]</f>
        <v>4405782.8571428582</v>
      </c>
      <c r="P370" s="11">
        <v>6168096</v>
      </c>
      <c r="Q370" s="11">
        <f>jewels[[#This Row],[Total Sales Value]]-jewels[[#This Row],[Cost Per Unit]]</f>
        <v>1762313.1428571418</v>
      </c>
      <c r="R370" s="13">
        <f>jewels[[#This Row],[Profit]]/jewels[[#This Row],[Cost Per Unit]]</f>
        <v>0.39999999999999969</v>
      </c>
    </row>
    <row r="371" spans="1:18" x14ac:dyDescent="0.25">
      <c r="A371" s="3">
        <v>370</v>
      </c>
      <c r="B371" s="4">
        <v>44305</v>
      </c>
      <c r="C371" s="3">
        <v>2021</v>
      </c>
      <c r="D371" s="3">
        <v>4</v>
      </c>
      <c r="E371" s="5" t="s">
        <v>24</v>
      </c>
      <c r="F371" s="3">
        <v>113</v>
      </c>
      <c r="G371" s="5" t="s">
        <v>20</v>
      </c>
      <c r="H371" s="5" t="s">
        <v>21</v>
      </c>
      <c r="I371" s="5" t="s">
        <v>22</v>
      </c>
      <c r="J371" s="5" t="s">
        <v>47</v>
      </c>
      <c r="K371" s="3">
        <v>62</v>
      </c>
      <c r="L371" s="11">
        <f>jewels[[#This Row],[Unit Price]]/(1+40%)</f>
        <v>597479.2857142858</v>
      </c>
      <c r="M371" s="11">
        <v>836471</v>
      </c>
      <c r="N371" s="3">
        <v>7</v>
      </c>
      <c r="O371" s="11">
        <f>jewels[[#This Row],[Cost ]]*jewels[[#This Row],[Sales_Qty]]</f>
        <v>4182355.0000000005</v>
      </c>
      <c r="P371" s="11">
        <v>5855297</v>
      </c>
      <c r="Q371" s="11">
        <f>jewels[[#This Row],[Total Sales Value]]-jewels[[#This Row],[Cost Per Unit]]</f>
        <v>1672941.9999999995</v>
      </c>
      <c r="R371" s="13">
        <f>jewels[[#This Row],[Profit]]/jewels[[#This Row],[Cost Per Unit]]</f>
        <v>0.39999999999999986</v>
      </c>
    </row>
    <row r="372" spans="1:18" x14ac:dyDescent="0.25">
      <c r="A372" s="3">
        <v>371</v>
      </c>
      <c r="B372" s="4">
        <v>45124</v>
      </c>
      <c r="C372" s="3">
        <v>2023</v>
      </c>
      <c r="D372" s="3">
        <v>7</v>
      </c>
      <c r="E372" s="5" t="s">
        <v>49</v>
      </c>
      <c r="F372" s="3">
        <v>398</v>
      </c>
      <c r="G372" s="5" t="s">
        <v>25</v>
      </c>
      <c r="H372" s="5" t="s">
        <v>26</v>
      </c>
      <c r="I372" s="5" t="s">
        <v>29</v>
      </c>
      <c r="J372" s="5" t="s">
        <v>50</v>
      </c>
      <c r="K372" s="3">
        <v>88</v>
      </c>
      <c r="L372" s="11">
        <f>jewels[[#This Row],[Unit Price]]/(1+40%)</f>
        <v>2175706.4285714286</v>
      </c>
      <c r="M372" s="11">
        <v>3045989</v>
      </c>
      <c r="N372" s="3">
        <v>4</v>
      </c>
      <c r="O372" s="11">
        <f>jewels[[#This Row],[Cost ]]*jewels[[#This Row],[Sales_Qty]]</f>
        <v>8702825.7142857146</v>
      </c>
      <c r="P372" s="11">
        <v>12183956</v>
      </c>
      <c r="Q372" s="11">
        <f>jewels[[#This Row],[Total Sales Value]]-jewels[[#This Row],[Cost Per Unit]]</f>
        <v>3481130.2857142854</v>
      </c>
      <c r="R372" s="13">
        <f>jewels[[#This Row],[Profit]]/jewels[[#This Row],[Cost Per Unit]]</f>
        <v>0.39999999999999997</v>
      </c>
    </row>
    <row r="373" spans="1:18" x14ac:dyDescent="0.25">
      <c r="A373" s="3">
        <v>372</v>
      </c>
      <c r="B373" s="4">
        <v>44890</v>
      </c>
      <c r="C373" s="3">
        <v>2022</v>
      </c>
      <c r="D373" s="3">
        <v>11</v>
      </c>
      <c r="E373" s="5" t="s">
        <v>58</v>
      </c>
      <c r="F373" s="3">
        <v>101</v>
      </c>
      <c r="G373" s="5" t="s">
        <v>25</v>
      </c>
      <c r="H373" s="5" t="s">
        <v>26</v>
      </c>
      <c r="I373" s="5" t="s">
        <v>27</v>
      </c>
      <c r="J373" s="5" t="s">
        <v>45</v>
      </c>
      <c r="K373" s="3">
        <v>75</v>
      </c>
      <c r="L373" s="11">
        <f>jewels[[#This Row],[Unit Price]]/(1+40%)</f>
        <v>4834346.4285714291</v>
      </c>
      <c r="M373" s="11">
        <v>6768085</v>
      </c>
      <c r="N373" s="3">
        <v>4</v>
      </c>
      <c r="O373" s="11">
        <f>jewels[[#This Row],[Cost ]]*jewels[[#This Row],[Sales_Qty]]</f>
        <v>19337385.714285716</v>
      </c>
      <c r="P373" s="11">
        <v>27072340</v>
      </c>
      <c r="Q373" s="11">
        <f>jewels[[#This Row],[Total Sales Value]]-jewels[[#This Row],[Cost Per Unit]]</f>
        <v>7734954.2857142836</v>
      </c>
      <c r="R373" s="13">
        <f>jewels[[#This Row],[Profit]]/jewels[[#This Row],[Cost Per Unit]]</f>
        <v>0.39999999999999986</v>
      </c>
    </row>
    <row r="374" spans="1:18" x14ac:dyDescent="0.25">
      <c r="A374" s="3">
        <v>373</v>
      </c>
      <c r="B374" s="4">
        <v>44573</v>
      </c>
      <c r="C374" s="3">
        <v>2022</v>
      </c>
      <c r="D374" s="3">
        <v>1</v>
      </c>
      <c r="E374" s="5" t="s">
        <v>41</v>
      </c>
      <c r="F374" s="3">
        <v>233</v>
      </c>
      <c r="G374" s="5" t="s">
        <v>25</v>
      </c>
      <c r="H374" s="5" t="s">
        <v>26</v>
      </c>
      <c r="I374" s="5" t="s">
        <v>22</v>
      </c>
      <c r="J374" s="5" t="s">
        <v>47</v>
      </c>
      <c r="K374" s="3">
        <v>57</v>
      </c>
      <c r="L374" s="11">
        <f>jewels[[#This Row],[Unit Price]]/(1+40%)</f>
        <v>3949896.4285714286</v>
      </c>
      <c r="M374" s="11">
        <v>5529855</v>
      </c>
      <c r="N374" s="3">
        <v>5</v>
      </c>
      <c r="O374" s="11">
        <f>jewels[[#This Row],[Cost ]]*jewels[[#This Row],[Sales_Qty]]</f>
        <v>19749482.142857142</v>
      </c>
      <c r="P374" s="11">
        <v>27649275</v>
      </c>
      <c r="Q374" s="11">
        <f>jewels[[#This Row],[Total Sales Value]]-jewels[[#This Row],[Cost Per Unit]]</f>
        <v>7899792.8571428582</v>
      </c>
      <c r="R374" s="13">
        <f>jewels[[#This Row],[Profit]]/jewels[[#This Row],[Cost Per Unit]]</f>
        <v>0.40000000000000008</v>
      </c>
    </row>
    <row r="375" spans="1:18" x14ac:dyDescent="0.25">
      <c r="A375" s="3">
        <v>374</v>
      </c>
      <c r="B375" s="4">
        <v>44030</v>
      </c>
      <c r="C375" s="3">
        <v>2020</v>
      </c>
      <c r="D375" s="3">
        <v>7</v>
      </c>
      <c r="E375" s="5" t="s">
        <v>49</v>
      </c>
      <c r="F375" s="3">
        <v>27</v>
      </c>
      <c r="G375" s="5" t="s">
        <v>20</v>
      </c>
      <c r="H375" s="5" t="s">
        <v>21</v>
      </c>
      <c r="I375" s="5" t="s">
        <v>27</v>
      </c>
      <c r="J375" s="5" t="s">
        <v>23</v>
      </c>
      <c r="K375" s="3">
        <v>61</v>
      </c>
      <c r="L375" s="11">
        <f>jewels[[#This Row],[Unit Price]]/(1+40%)</f>
        <v>768992.14285714296</v>
      </c>
      <c r="M375" s="11">
        <v>1076589</v>
      </c>
      <c r="N375" s="3">
        <v>4</v>
      </c>
      <c r="O375" s="11">
        <f>jewels[[#This Row],[Cost ]]*jewels[[#This Row],[Sales_Qty]]</f>
        <v>3075968.5714285718</v>
      </c>
      <c r="P375" s="11">
        <v>4306356</v>
      </c>
      <c r="Q375" s="11">
        <f>jewels[[#This Row],[Total Sales Value]]-jewels[[#This Row],[Cost Per Unit]]</f>
        <v>1230387.4285714282</v>
      </c>
      <c r="R375" s="13">
        <f>jewels[[#This Row],[Profit]]/jewels[[#This Row],[Cost Per Unit]]</f>
        <v>0.3999999999999998</v>
      </c>
    </row>
    <row r="376" spans="1:18" x14ac:dyDescent="0.25">
      <c r="A376" s="3">
        <v>375</v>
      </c>
      <c r="B376" s="4">
        <v>45062</v>
      </c>
      <c r="C376" s="3">
        <v>2023</v>
      </c>
      <c r="D376" s="3">
        <v>5</v>
      </c>
      <c r="E376" s="5" t="s">
        <v>53</v>
      </c>
      <c r="F376" s="3">
        <v>322</v>
      </c>
      <c r="G376" s="5" t="s">
        <v>38</v>
      </c>
      <c r="H376" s="5" t="s">
        <v>35</v>
      </c>
      <c r="I376" s="5" t="s">
        <v>22</v>
      </c>
      <c r="J376" s="5" t="s">
        <v>44</v>
      </c>
      <c r="K376" s="3">
        <v>55</v>
      </c>
      <c r="L376" s="11">
        <f>jewels[[#This Row],[Unit Price]]/(1+40%)</f>
        <v>6712945.7142857146</v>
      </c>
      <c r="M376" s="11">
        <v>9398124</v>
      </c>
      <c r="N376" s="3">
        <v>9</v>
      </c>
      <c r="O376" s="11">
        <f>jewels[[#This Row],[Cost ]]*jewels[[#This Row],[Sales_Qty]]</f>
        <v>60416511.428571433</v>
      </c>
      <c r="P376" s="11">
        <v>84583116</v>
      </c>
      <c r="Q376" s="11">
        <f>jewels[[#This Row],[Total Sales Value]]-jewels[[#This Row],[Cost Per Unit]]</f>
        <v>24166604.571428567</v>
      </c>
      <c r="R376" s="13">
        <f>jewels[[#This Row],[Profit]]/jewels[[#This Row],[Cost Per Unit]]</f>
        <v>0.39999999999999991</v>
      </c>
    </row>
    <row r="377" spans="1:18" x14ac:dyDescent="0.25">
      <c r="A377" s="3">
        <v>376</v>
      </c>
      <c r="B377" s="4">
        <v>44348</v>
      </c>
      <c r="C377" s="3">
        <v>2021</v>
      </c>
      <c r="D377" s="3">
        <v>6</v>
      </c>
      <c r="E377" s="5" t="s">
        <v>14</v>
      </c>
      <c r="F377" s="3">
        <v>198</v>
      </c>
      <c r="G377" s="5" t="s">
        <v>25</v>
      </c>
      <c r="H377" s="5" t="s">
        <v>26</v>
      </c>
      <c r="I377" s="5" t="s">
        <v>22</v>
      </c>
      <c r="J377" s="5" t="s">
        <v>18</v>
      </c>
      <c r="K377" s="3">
        <v>80</v>
      </c>
      <c r="L377" s="11">
        <f>jewels[[#This Row],[Unit Price]]/(1+40%)</f>
        <v>5309875.7142857146</v>
      </c>
      <c r="M377" s="11">
        <v>7433826</v>
      </c>
      <c r="N377" s="3">
        <v>5</v>
      </c>
      <c r="O377" s="11">
        <f>jewels[[#This Row],[Cost ]]*jewels[[#This Row],[Sales_Qty]]</f>
        <v>26549378.571428575</v>
      </c>
      <c r="P377" s="11">
        <v>37169130</v>
      </c>
      <c r="Q377" s="11">
        <f>jewels[[#This Row],[Total Sales Value]]-jewels[[#This Row],[Cost Per Unit]]</f>
        <v>10619751.428571425</v>
      </c>
      <c r="R377" s="13">
        <f>jewels[[#This Row],[Profit]]/jewels[[#This Row],[Cost Per Unit]]</f>
        <v>0.39999999999999986</v>
      </c>
    </row>
    <row r="378" spans="1:18" x14ac:dyDescent="0.25">
      <c r="A378" s="3">
        <v>377</v>
      </c>
      <c r="B378" s="4">
        <v>45123</v>
      </c>
      <c r="C378" s="3">
        <v>2023</v>
      </c>
      <c r="D378" s="3">
        <v>7</v>
      </c>
      <c r="E378" s="5" t="s">
        <v>49</v>
      </c>
      <c r="F378" s="3">
        <v>407</v>
      </c>
      <c r="G378" s="5" t="s">
        <v>57</v>
      </c>
      <c r="H378" s="5" t="s">
        <v>35</v>
      </c>
      <c r="I378" s="5" t="s">
        <v>40</v>
      </c>
      <c r="J378" s="5" t="s">
        <v>23</v>
      </c>
      <c r="K378" s="3">
        <v>74</v>
      </c>
      <c r="L378" s="11">
        <f>jewels[[#This Row],[Unit Price]]/(1+40%)</f>
        <v>1153017.8571428573</v>
      </c>
      <c r="M378" s="11">
        <v>1614225</v>
      </c>
      <c r="N378" s="3">
        <v>4</v>
      </c>
      <c r="O378" s="11">
        <f>jewels[[#This Row],[Cost ]]*jewels[[#This Row],[Sales_Qty]]</f>
        <v>4612071.4285714291</v>
      </c>
      <c r="P378" s="11">
        <v>6456900</v>
      </c>
      <c r="Q378" s="11">
        <f>jewels[[#This Row],[Total Sales Value]]-jewels[[#This Row],[Cost Per Unit]]</f>
        <v>1844828.5714285709</v>
      </c>
      <c r="R378" s="13">
        <f>jewels[[#This Row],[Profit]]/jewels[[#This Row],[Cost Per Unit]]</f>
        <v>0.39999999999999986</v>
      </c>
    </row>
    <row r="379" spans="1:18" x14ac:dyDescent="0.25">
      <c r="A379" s="3">
        <v>378</v>
      </c>
      <c r="B379" s="4">
        <v>44465</v>
      </c>
      <c r="C379" s="3">
        <v>2021</v>
      </c>
      <c r="D379" s="3">
        <v>9</v>
      </c>
      <c r="E379" s="5" t="s">
        <v>33</v>
      </c>
      <c r="F379" s="3">
        <v>343</v>
      </c>
      <c r="G379" s="5" t="s">
        <v>42</v>
      </c>
      <c r="H379" s="5" t="s">
        <v>26</v>
      </c>
      <c r="I379" s="5" t="s">
        <v>22</v>
      </c>
      <c r="J379" s="5" t="s">
        <v>18</v>
      </c>
      <c r="K379" s="3">
        <v>94</v>
      </c>
      <c r="L379" s="11">
        <f>jewels[[#This Row],[Unit Price]]/(1+40%)</f>
        <v>2856117.8571428573</v>
      </c>
      <c r="M379" s="11">
        <v>3998565</v>
      </c>
      <c r="N379" s="3">
        <v>7</v>
      </c>
      <c r="O379" s="11">
        <f>jewels[[#This Row],[Cost ]]*jewels[[#This Row],[Sales_Qty]]</f>
        <v>19992825</v>
      </c>
      <c r="P379" s="11">
        <v>27989955</v>
      </c>
      <c r="Q379" s="11">
        <f>jewels[[#This Row],[Total Sales Value]]-jewels[[#This Row],[Cost Per Unit]]</f>
        <v>7997130</v>
      </c>
      <c r="R379" s="13">
        <f>jewels[[#This Row],[Profit]]/jewels[[#This Row],[Cost Per Unit]]</f>
        <v>0.4</v>
      </c>
    </row>
    <row r="380" spans="1:18" x14ac:dyDescent="0.25">
      <c r="A380" s="3">
        <v>379</v>
      </c>
      <c r="B380" s="4">
        <v>44486</v>
      </c>
      <c r="C380" s="3">
        <v>2021</v>
      </c>
      <c r="D380" s="3">
        <v>10</v>
      </c>
      <c r="E380" s="5" t="s">
        <v>61</v>
      </c>
      <c r="F380" s="3">
        <v>121</v>
      </c>
      <c r="G380" s="5" t="s">
        <v>31</v>
      </c>
      <c r="H380" s="5" t="s">
        <v>26</v>
      </c>
      <c r="I380" s="5" t="s">
        <v>27</v>
      </c>
      <c r="J380" s="5" t="s">
        <v>44</v>
      </c>
      <c r="K380" s="3">
        <v>97</v>
      </c>
      <c r="L380" s="11">
        <f>jewels[[#This Row],[Unit Price]]/(1+40%)</f>
        <v>3797195.7142857146</v>
      </c>
      <c r="M380" s="11">
        <v>5316074</v>
      </c>
      <c r="N380" s="3">
        <v>8</v>
      </c>
      <c r="O380" s="11">
        <f>jewels[[#This Row],[Cost ]]*jewels[[#This Row],[Sales_Qty]]</f>
        <v>30377565.714285716</v>
      </c>
      <c r="P380" s="11">
        <v>42528592</v>
      </c>
      <c r="Q380" s="11">
        <f>jewels[[#This Row],[Total Sales Value]]-jewels[[#This Row],[Cost Per Unit]]</f>
        <v>12151026.285714284</v>
      </c>
      <c r="R380" s="13">
        <f>jewels[[#This Row],[Profit]]/jewels[[#This Row],[Cost Per Unit]]</f>
        <v>0.39999999999999991</v>
      </c>
    </row>
    <row r="381" spans="1:18" x14ac:dyDescent="0.25">
      <c r="A381" s="3">
        <v>380</v>
      </c>
      <c r="B381" s="4">
        <v>45037</v>
      </c>
      <c r="C381" s="3">
        <v>2023</v>
      </c>
      <c r="D381" s="3">
        <v>4</v>
      </c>
      <c r="E381" s="5" t="s">
        <v>24</v>
      </c>
      <c r="F381" s="3">
        <v>318</v>
      </c>
      <c r="G381" s="5" t="s">
        <v>34</v>
      </c>
      <c r="H381" s="5" t="s">
        <v>35</v>
      </c>
      <c r="I381" s="5" t="s">
        <v>39</v>
      </c>
      <c r="J381" s="5" t="s">
        <v>28</v>
      </c>
      <c r="K381" s="3">
        <v>72</v>
      </c>
      <c r="L381" s="11">
        <f>jewels[[#This Row],[Unit Price]]/(1+40%)</f>
        <v>4379132.8571428573</v>
      </c>
      <c r="M381" s="11">
        <v>6130786</v>
      </c>
      <c r="N381" s="3">
        <v>10</v>
      </c>
      <c r="O381" s="11">
        <f>jewels[[#This Row],[Cost ]]*jewels[[#This Row],[Sales_Qty]]</f>
        <v>43791328.571428575</v>
      </c>
      <c r="P381" s="11">
        <v>61307860</v>
      </c>
      <c r="Q381" s="11">
        <f>jewels[[#This Row],[Total Sales Value]]-jewels[[#This Row],[Cost Per Unit]]</f>
        <v>17516531.428571425</v>
      </c>
      <c r="R381" s="13">
        <f>jewels[[#This Row],[Profit]]/jewels[[#This Row],[Cost Per Unit]]</f>
        <v>0.39999999999999991</v>
      </c>
    </row>
    <row r="382" spans="1:18" x14ac:dyDescent="0.25">
      <c r="A382" s="3">
        <v>381</v>
      </c>
      <c r="B382" s="4">
        <v>45218</v>
      </c>
      <c r="C382" s="3">
        <v>2023</v>
      </c>
      <c r="D382" s="3">
        <v>10</v>
      </c>
      <c r="E382" s="5" t="s">
        <v>61</v>
      </c>
      <c r="F382" s="3">
        <v>239</v>
      </c>
      <c r="G382" s="5" t="s">
        <v>38</v>
      </c>
      <c r="H382" s="5" t="s">
        <v>35</v>
      </c>
      <c r="I382" s="5" t="s">
        <v>17</v>
      </c>
      <c r="J382" s="5" t="s">
        <v>44</v>
      </c>
      <c r="K382" s="3">
        <v>96</v>
      </c>
      <c r="L382" s="11">
        <f>jewels[[#This Row],[Unit Price]]/(1+40%)</f>
        <v>6285676.4285714291</v>
      </c>
      <c r="M382" s="11">
        <v>8799947</v>
      </c>
      <c r="N382" s="3">
        <v>6</v>
      </c>
      <c r="O382" s="11">
        <f>jewels[[#This Row],[Cost ]]*jewels[[#This Row],[Sales_Qty]]</f>
        <v>37714058.571428575</v>
      </c>
      <c r="P382" s="11">
        <v>52799682</v>
      </c>
      <c r="Q382" s="11">
        <f>jewels[[#This Row],[Total Sales Value]]-jewels[[#This Row],[Cost Per Unit]]</f>
        <v>15085623.428571425</v>
      </c>
      <c r="R382" s="13">
        <f>jewels[[#This Row],[Profit]]/jewels[[#This Row],[Cost Per Unit]]</f>
        <v>0.39999999999999986</v>
      </c>
    </row>
    <row r="383" spans="1:18" x14ac:dyDescent="0.25">
      <c r="A383" s="3">
        <v>382</v>
      </c>
      <c r="B383" s="4">
        <v>45155</v>
      </c>
      <c r="C383" s="3">
        <v>2023</v>
      </c>
      <c r="D383" s="3">
        <v>8</v>
      </c>
      <c r="E383" s="5" t="s">
        <v>51</v>
      </c>
      <c r="F383" s="3">
        <v>366</v>
      </c>
      <c r="G383" s="5" t="s">
        <v>46</v>
      </c>
      <c r="H383" s="5" t="s">
        <v>35</v>
      </c>
      <c r="I383" s="5" t="s">
        <v>17</v>
      </c>
      <c r="J383" s="5" t="s">
        <v>50</v>
      </c>
      <c r="K383" s="3">
        <v>97</v>
      </c>
      <c r="L383" s="11">
        <f>jewels[[#This Row],[Unit Price]]/(1+40%)</f>
        <v>1506325</v>
      </c>
      <c r="M383" s="11">
        <v>2108855</v>
      </c>
      <c r="N383" s="3">
        <v>9</v>
      </c>
      <c r="O383" s="11">
        <f>jewels[[#This Row],[Cost ]]*jewels[[#This Row],[Sales_Qty]]</f>
        <v>13556925</v>
      </c>
      <c r="P383" s="11">
        <v>18979695</v>
      </c>
      <c r="Q383" s="11">
        <f>jewels[[#This Row],[Total Sales Value]]-jewels[[#This Row],[Cost Per Unit]]</f>
        <v>5422770</v>
      </c>
      <c r="R383" s="13">
        <f>jewels[[#This Row],[Profit]]/jewels[[#This Row],[Cost Per Unit]]</f>
        <v>0.4</v>
      </c>
    </row>
    <row r="384" spans="1:18" x14ac:dyDescent="0.25">
      <c r="A384" s="3">
        <v>383</v>
      </c>
      <c r="B384" s="4">
        <v>45229</v>
      </c>
      <c r="C384" s="3">
        <v>2023</v>
      </c>
      <c r="D384" s="3">
        <v>10</v>
      </c>
      <c r="E384" s="5" t="s">
        <v>61</v>
      </c>
      <c r="F384" s="3">
        <v>55</v>
      </c>
      <c r="G384" s="5" t="s">
        <v>15</v>
      </c>
      <c r="H384" s="5" t="s">
        <v>16</v>
      </c>
      <c r="I384" s="5" t="s">
        <v>22</v>
      </c>
      <c r="J384" s="5" t="s">
        <v>32</v>
      </c>
      <c r="K384" s="3">
        <v>79</v>
      </c>
      <c r="L384" s="11">
        <f>jewels[[#This Row],[Unit Price]]/(1+40%)</f>
        <v>4560374.2857142864</v>
      </c>
      <c r="M384" s="11">
        <v>6384524</v>
      </c>
      <c r="N384" s="3">
        <v>4</v>
      </c>
      <c r="O384" s="11">
        <f>jewels[[#This Row],[Cost ]]*jewels[[#This Row],[Sales_Qty]]</f>
        <v>18241497.142857146</v>
      </c>
      <c r="P384" s="11">
        <v>25538096</v>
      </c>
      <c r="Q384" s="11">
        <f>jewels[[#This Row],[Total Sales Value]]-jewels[[#This Row],[Cost Per Unit]]</f>
        <v>7296598.8571428545</v>
      </c>
      <c r="R384" s="13">
        <f>jewels[[#This Row],[Profit]]/jewels[[#This Row],[Cost Per Unit]]</f>
        <v>0.3999999999999998</v>
      </c>
    </row>
    <row r="385" spans="1:18" x14ac:dyDescent="0.25">
      <c r="A385" s="3">
        <v>384</v>
      </c>
      <c r="B385" s="4">
        <v>44709</v>
      </c>
      <c r="C385" s="3">
        <v>2022</v>
      </c>
      <c r="D385" s="3">
        <v>5</v>
      </c>
      <c r="E385" s="5" t="s">
        <v>53</v>
      </c>
      <c r="F385" s="3">
        <v>194</v>
      </c>
      <c r="G385" s="5" t="s">
        <v>31</v>
      </c>
      <c r="H385" s="5" t="s">
        <v>26</v>
      </c>
      <c r="I385" s="5" t="s">
        <v>27</v>
      </c>
      <c r="J385" s="5" t="s">
        <v>50</v>
      </c>
      <c r="K385" s="3">
        <v>61</v>
      </c>
      <c r="L385" s="11">
        <f>jewels[[#This Row],[Unit Price]]/(1+40%)</f>
        <v>3133780</v>
      </c>
      <c r="M385" s="11">
        <v>4387292</v>
      </c>
      <c r="N385" s="3">
        <v>2</v>
      </c>
      <c r="O385" s="11">
        <f>jewels[[#This Row],[Cost ]]*jewels[[#This Row],[Sales_Qty]]</f>
        <v>6267560</v>
      </c>
      <c r="P385" s="11">
        <v>8774584</v>
      </c>
      <c r="Q385" s="11">
        <f>jewels[[#This Row],[Total Sales Value]]-jewels[[#This Row],[Cost Per Unit]]</f>
        <v>2507024</v>
      </c>
      <c r="R385" s="13">
        <f>jewels[[#This Row],[Profit]]/jewels[[#This Row],[Cost Per Unit]]</f>
        <v>0.4</v>
      </c>
    </row>
    <row r="386" spans="1:18" x14ac:dyDescent="0.25">
      <c r="A386" s="3">
        <v>385</v>
      </c>
      <c r="B386" s="4">
        <v>44961</v>
      </c>
      <c r="C386" s="3">
        <v>2023</v>
      </c>
      <c r="D386" s="3">
        <v>2</v>
      </c>
      <c r="E386" s="5" t="s">
        <v>19</v>
      </c>
      <c r="F386" s="3">
        <v>256</v>
      </c>
      <c r="G386" s="5" t="s">
        <v>57</v>
      </c>
      <c r="H386" s="5" t="s">
        <v>35</v>
      </c>
      <c r="I386" s="5" t="s">
        <v>40</v>
      </c>
      <c r="J386" s="5" t="s">
        <v>45</v>
      </c>
      <c r="K386" s="3">
        <v>93</v>
      </c>
      <c r="L386" s="11">
        <f>jewels[[#This Row],[Unit Price]]/(1+40%)</f>
        <v>1114170.7142857143</v>
      </c>
      <c r="M386" s="11">
        <v>1559839</v>
      </c>
      <c r="N386" s="3">
        <v>8</v>
      </c>
      <c r="O386" s="11">
        <f>jewels[[#This Row],[Cost ]]*jewels[[#This Row],[Sales_Qty]]</f>
        <v>8913365.7142857146</v>
      </c>
      <c r="P386" s="11">
        <v>12478712</v>
      </c>
      <c r="Q386" s="11">
        <f>jewels[[#This Row],[Total Sales Value]]-jewels[[#This Row],[Cost Per Unit]]</f>
        <v>3565346.2857142854</v>
      </c>
      <c r="R386" s="13">
        <f>jewels[[#This Row],[Profit]]/jewels[[#This Row],[Cost Per Unit]]</f>
        <v>0.39999999999999997</v>
      </c>
    </row>
    <row r="387" spans="1:18" x14ac:dyDescent="0.25">
      <c r="A387" s="3">
        <v>386</v>
      </c>
      <c r="B387" s="4">
        <v>44152</v>
      </c>
      <c r="C387" s="3">
        <v>2020</v>
      </c>
      <c r="D387" s="3">
        <v>11</v>
      </c>
      <c r="E387" s="5" t="s">
        <v>58</v>
      </c>
      <c r="F387" s="3">
        <v>115</v>
      </c>
      <c r="G387" s="5" t="s">
        <v>25</v>
      </c>
      <c r="H387" s="5" t="s">
        <v>26</v>
      </c>
      <c r="I387" s="5" t="s">
        <v>40</v>
      </c>
      <c r="J387" s="5" t="s">
        <v>45</v>
      </c>
      <c r="K387" s="3">
        <v>100</v>
      </c>
      <c r="L387" s="11">
        <f>jewels[[#This Row],[Unit Price]]/(1+40%)</f>
        <v>3622711.4285714286</v>
      </c>
      <c r="M387" s="11">
        <v>5071796</v>
      </c>
      <c r="N387" s="3">
        <v>7</v>
      </c>
      <c r="O387" s="11">
        <f>jewels[[#This Row],[Cost ]]*jewels[[#This Row],[Sales_Qty]]</f>
        <v>25358980</v>
      </c>
      <c r="P387" s="11">
        <v>35502572</v>
      </c>
      <c r="Q387" s="11">
        <f>jewels[[#This Row],[Total Sales Value]]-jewels[[#This Row],[Cost Per Unit]]</f>
        <v>10143592</v>
      </c>
      <c r="R387" s="13">
        <f>jewels[[#This Row],[Profit]]/jewels[[#This Row],[Cost Per Unit]]</f>
        <v>0.4</v>
      </c>
    </row>
    <row r="388" spans="1:18" x14ac:dyDescent="0.25">
      <c r="A388" s="3">
        <v>387</v>
      </c>
      <c r="B388" s="4">
        <v>44545</v>
      </c>
      <c r="C388" s="3">
        <v>2021</v>
      </c>
      <c r="D388" s="3">
        <v>12</v>
      </c>
      <c r="E388" s="5" t="s">
        <v>37</v>
      </c>
      <c r="F388" s="3">
        <v>289</v>
      </c>
      <c r="G388" s="5" t="s">
        <v>38</v>
      </c>
      <c r="H388" s="5" t="s">
        <v>35</v>
      </c>
      <c r="I388" s="5" t="s">
        <v>40</v>
      </c>
      <c r="J388" s="5" t="s">
        <v>18</v>
      </c>
      <c r="K388" s="3">
        <v>70</v>
      </c>
      <c r="L388" s="11">
        <f>jewels[[#This Row],[Unit Price]]/(1+40%)</f>
        <v>5885870</v>
      </c>
      <c r="M388" s="11">
        <v>8240218</v>
      </c>
      <c r="N388" s="3">
        <v>9</v>
      </c>
      <c r="O388" s="11">
        <f>jewels[[#This Row],[Cost ]]*jewels[[#This Row],[Sales_Qty]]</f>
        <v>52972830</v>
      </c>
      <c r="P388" s="11">
        <v>74161962</v>
      </c>
      <c r="Q388" s="11">
        <f>jewels[[#This Row],[Total Sales Value]]-jewels[[#This Row],[Cost Per Unit]]</f>
        <v>21189132</v>
      </c>
      <c r="R388" s="13">
        <f>jewels[[#This Row],[Profit]]/jewels[[#This Row],[Cost Per Unit]]</f>
        <v>0.4</v>
      </c>
    </row>
    <row r="389" spans="1:18" x14ac:dyDescent="0.25">
      <c r="A389" s="3">
        <v>388</v>
      </c>
      <c r="B389" s="4">
        <v>45149</v>
      </c>
      <c r="C389" s="3">
        <v>2023</v>
      </c>
      <c r="D389" s="3">
        <v>8</v>
      </c>
      <c r="E389" s="5" t="s">
        <v>51</v>
      </c>
      <c r="F389" s="3">
        <v>338</v>
      </c>
      <c r="G389" s="5" t="s">
        <v>52</v>
      </c>
      <c r="H389" s="5" t="s">
        <v>21</v>
      </c>
      <c r="I389" s="5" t="s">
        <v>40</v>
      </c>
      <c r="J389" s="5" t="s">
        <v>30</v>
      </c>
      <c r="K389" s="3">
        <v>90</v>
      </c>
      <c r="L389" s="11">
        <f>jewels[[#This Row],[Unit Price]]/(1+40%)</f>
        <v>3629249.2857142859</v>
      </c>
      <c r="M389" s="11">
        <v>5080949</v>
      </c>
      <c r="N389" s="3">
        <v>10</v>
      </c>
      <c r="O389" s="11">
        <f>jewels[[#This Row],[Cost ]]*jewels[[#This Row],[Sales_Qty]]</f>
        <v>36292492.857142858</v>
      </c>
      <c r="P389" s="11">
        <v>50809490</v>
      </c>
      <c r="Q389" s="11">
        <f>jewels[[#This Row],[Total Sales Value]]-jewels[[#This Row],[Cost Per Unit]]</f>
        <v>14516997.142857142</v>
      </c>
      <c r="R389" s="13">
        <f>jewels[[#This Row],[Profit]]/jewels[[#This Row],[Cost Per Unit]]</f>
        <v>0.39999999999999997</v>
      </c>
    </row>
    <row r="390" spans="1:18" x14ac:dyDescent="0.25">
      <c r="A390" s="3">
        <v>389</v>
      </c>
      <c r="B390" s="4">
        <v>45308</v>
      </c>
      <c r="C390" s="3">
        <v>2024</v>
      </c>
      <c r="D390" s="3">
        <v>1</v>
      </c>
      <c r="E390" s="5" t="s">
        <v>41</v>
      </c>
      <c r="F390" s="3">
        <v>106</v>
      </c>
      <c r="G390" s="5" t="s">
        <v>60</v>
      </c>
      <c r="H390" s="5" t="s">
        <v>16</v>
      </c>
      <c r="I390" s="5" t="s">
        <v>17</v>
      </c>
      <c r="J390" s="5" t="s">
        <v>45</v>
      </c>
      <c r="K390" s="3">
        <v>61</v>
      </c>
      <c r="L390" s="11">
        <f>jewels[[#This Row],[Unit Price]]/(1+40%)</f>
        <v>485207.1428571429</v>
      </c>
      <c r="M390" s="11">
        <v>679290</v>
      </c>
      <c r="N390" s="3">
        <v>9</v>
      </c>
      <c r="O390" s="11">
        <f>jewels[[#This Row],[Cost ]]*jewels[[#This Row],[Sales_Qty]]</f>
        <v>4366864.2857142864</v>
      </c>
      <c r="P390" s="11">
        <v>6113610</v>
      </c>
      <c r="Q390" s="11">
        <f>jewels[[#This Row],[Total Sales Value]]-jewels[[#This Row],[Cost Per Unit]]</f>
        <v>1746745.7142857136</v>
      </c>
      <c r="R390" s="13">
        <f>jewels[[#This Row],[Profit]]/jewels[[#This Row],[Cost Per Unit]]</f>
        <v>0.3999999999999998</v>
      </c>
    </row>
    <row r="391" spans="1:18" x14ac:dyDescent="0.25">
      <c r="A391" s="3">
        <v>390</v>
      </c>
      <c r="B391" s="4">
        <v>44148</v>
      </c>
      <c r="C391" s="3">
        <v>2020</v>
      </c>
      <c r="D391" s="3">
        <v>11</v>
      </c>
      <c r="E391" s="5" t="s">
        <v>58</v>
      </c>
      <c r="F391" s="3">
        <v>277</v>
      </c>
      <c r="G391" s="5" t="s">
        <v>63</v>
      </c>
      <c r="H391" s="5" t="s">
        <v>21</v>
      </c>
      <c r="I391" s="5" t="s">
        <v>17</v>
      </c>
      <c r="J391" s="5" t="s">
        <v>32</v>
      </c>
      <c r="K391" s="3">
        <v>58</v>
      </c>
      <c r="L391" s="11">
        <f>jewels[[#This Row],[Unit Price]]/(1+40%)</f>
        <v>2401090.7142857146</v>
      </c>
      <c r="M391" s="11">
        <v>3361527</v>
      </c>
      <c r="N391" s="3">
        <v>1</v>
      </c>
      <c r="O391" s="11">
        <f>jewels[[#This Row],[Cost ]]*jewels[[#This Row],[Sales_Qty]]</f>
        <v>2401090.7142857146</v>
      </c>
      <c r="P391" s="11">
        <v>3361527</v>
      </c>
      <c r="Q391" s="11">
        <f>jewels[[#This Row],[Total Sales Value]]-jewels[[#This Row],[Cost Per Unit]]</f>
        <v>960436.28571428545</v>
      </c>
      <c r="R391" s="13">
        <f>jewels[[#This Row],[Profit]]/jewels[[#This Row],[Cost Per Unit]]</f>
        <v>0.39999999999999986</v>
      </c>
    </row>
    <row r="392" spans="1:18" x14ac:dyDescent="0.25">
      <c r="A392" s="3">
        <v>391</v>
      </c>
      <c r="B392" s="4">
        <v>44881</v>
      </c>
      <c r="C392" s="3">
        <v>2022</v>
      </c>
      <c r="D392" s="3">
        <v>11</v>
      </c>
      <c r="E392" s="5" t="s">
        <v>58</v>
      </c>
      <c r="F392" s="3">
        <v>127</v>
      </c>
      <c r="G392" s="5" t="s">
        <v>65</v>
      </c>
      <c r="H392" s="5" t="s">
        <v>56</v>
      </c>
      <c r="I392" s="5" t="s">
        <v>29</v>
      </c>
      <c r="J392" s="5" t="s">
        <v>30</v>
      </c>
      <c r="K392" s="3">
        <v>93</v>
      </c>
      <c r="L392" s="11">
        <f>jewels[[#This Row],[Unit Price]]/(1+40%)</f>
        <v>982673.57142857148</v>
      </c>
      <c r="M392" s="11">
        <v>1375743</v>
      </c>
      <c r="N392" s="3">
        <v>4</v>
      </c>
      <c r="O392" s="11">
        <f>jewels[[#This Row],[Cost ]]*jewels[[#This Row],[Sales_Qty]]</f>
        <v>3930694.2857142859</v>
      </c>
      <c r="P392" s="11">
        <v>5502972</v>
      </c>
      <c r="Q392" s="11">
        <f>jewels[[#This Row],[Total Sales Value]]-jewels[[#This Row],[Cost Per Unit]]</f>
        <v>1572277.7142857141</v>
      </c>
      <c r="R392" s="13">
        <f>jewels[[#This Row],[Profit]]/jewels[[#This Row],[Cost Per Unit]]</f>
        <v>0.39999999999999991</v>
      </c>
    </row>
    <row r="393" spans="1:18" x14ac:dyDescent="0.25">
      <c r="A393" s="3">
        <v>392</v>
      </c>
      <c r="B393" s="4">
        <v>44171</v>
      </c>
      <c r="C393" s="3">
        <v>2020</v>
      </c>
      <c r="D393" s="3">
        <v>12</v>
      </c>
      <c r="E393" s="5" t="s">
        <v>37</v>
      </c>
      <c r="F393" s="3">
        <v>229</v>
      </c>
      <c r="G393" s="5" t="s">
        <v>48</v>
      </c>
      <c r="H393" s="5" t="s">
        <v>16</v>
      </c>
      <c r="I393" s="5" t="s">
        <v>22</v>
      </c>
      <c r="J393" s="5" t="s">
        <v>30</v>
      </c>
      <c r="K393" s="3">
        <v>56</v>
      </c>
      <c r="L393" s="11">
        <f>jewels[[#This Row],[Unit Price]]/(1+40%)</f>
        <v>6143120</v>
      </c>
      <c r="M393" s="11">
        <v>8600368</v>
      </c>
      <c r="N393" s="3">
        <v>7</v>
      </c>
      <c r="O393" s="11">
        <f>jewels[[#This Row],[Cost ]]*jewels[[#This Row],[Sales_Qty]]</f>
        <v>43001840</v>
      </c>
      <c r="P393" s="11">
        <v>60202576</v>
      </c>
      <c r="Q393" s="11">
        <f>jewels[[#This Row],[Total Sales Value]]-jewels[[#This Row],[Cost Per Unit]]</f>
        <v>17200736</v>
      </c>
      <c r="R393" s="13">
        <f>jewels[[#This Row],[Profit]]/jewels[[#This Row],[Cost Per Unit]]</f>
        <v>0.4</v>
      </c>
    </row>
    <row r="394" spans="1:18" x14ac:dyDescent="0.25">
      <c r="A394" s="3">
        <v>393</v>
      </c>
      <c r="B394" s="4">
        <v>45311</v>
      </c>
      <c r="C394" s="3">
        <v>2024</v>
      </c>
      <c r="D394" s="3">
        <v>1</v>
      </c>
      <c r="E394" s="5" t="s">
        <v>41</v>
      </c>
      <c r="F394" s="3">
        <v>12</v>
      </c>
      <c r="G394" s="5" t="s">
        <v>34</v>
      </c>
      <c r="H394" s="5" t="s">
        <v>35</v>
      </c>
      <c r="I394" s="5" t="s">
        <v>27</v>
      </c>
      <c r="J394" s="5" t="s">
        <v>23</v>
      </c>
      <c r="K394" s="3">
        <v>82</v>
      </c>
      <c r="L394" s="11">
        <f>jewels[[#This Row],[Unit Price]]/(1+40%)</f>
        <v>3857102.8571428573</v>
      </c>
      <c r="M394" s="11">
        <v>5399944</v>
      </c>
      <c r="N394" s="3">
        <v>9</v>
      </c>
      <c r="O394" s="11">
        <f>jewels[[#This Row],[Cost ]]*jewels[[#This Row],[Sales_Qty]]</f>
        <v>34713925.714285716</v>
      </c>
      <c r="P394" s="11">
        <v>48599496</v>
      </c>
      <c r="Q394" s="11">
        <f>jewels[[#This Row],[Total Sales Value]]-jewels[[#This Row],[Cost Per Unit]]</f>
        <v>13885570.285714284</v>
      </c>
      <c r="R394" s="13">
        <f>jewels[[#This Row],[Profit]]/jewels[[#This Row],[Cost Per Unit]]</f>
        <v>0.39999999999999991</v>
      </c>
    </row>
    <row r="395" spans="1:18" x14ac:dyDescent="0.25">
      <c r="A395" s="3">
        <v>394</v>
      </c>
      <c r="B395" s="4">
        <v>44513</v>
      </c>
      <c r="C395" s="3">
        <v>2021</v>
      </c>
      <c r="D395" s="3">
        <v>11</v>
      </c>
      <c r="E395" s="5" t="s">
        <v>58</v>
      </c>
      <c r="F395" s="3">
        <v>454</v>
      </c>
      <c r="G395" s="5" t="s">
        <v>20</v>
      </c>
      <c r="H395" s="5" t="s">
        <v>21</v>
      </c>
      <c r="I395" s="5" t="s">
        <v>27</v>
      </c>
      <c r="J395" s="5" t="s">
        <v>50</v>
      </c>
      <c r="K395" s="3">
        <v>100</v>
      </c>
      <c r="L395" s="11">
        <f>jewels[[#This Row],[Unit Price]]/(1+40%)</f>
        <v>5106624.2857142864</v>
      </c>
      <c r="M395" s="11">
        <v>7149274</v>
      </c>
      <c r="N395" s="3">
        <v>4</v>
      </c>
      <c r="O395" s="11">
        <f>jewels[[#This Row],[Cost ]]*jewels[[#This Row],[Sales_Qty]]</f>
        <v>20426497.142857146</v>
      </c>
      <c r="P395" s="11">
        <v>28597096</v>
      </c>
      <c r="Q395" s="11">
        <f>jewels[[#This Row],[Total Sales Value]]-jewels[[#This Row],[Cost Per Unit]]</f>
        <v>8170598.8571428545</v>
      </c>
      <c r="R395" s="13">
        <f>jewels[[#This Row],[Profit]]/jewels[[#This Row],[Cost Per Unit]]</f>
        <v>0.3999999999999998</v>
      </c>
    </row>
    <row r="396" spans="1:18" x14ac:dyDescent="0.25">
      <c r="A396" s="3">
        <v>395</v>
      </c>
      <c r="B396" s="4">
        <v>43963</v>
      </c>
      <c r="C396" s="3">
        <v>2020</v>
      </c>
      <c r="D396" s="3">
        <v>5</v>
      </c>
      <c r="E396" s="5" t="s">
        <v>53</v>
      </c>
      <c r="F396" s="3">
        <v>146</v>
      </c>
      <c r="G396" s="5" t="s">
        <v>57</v>
      </c>
      <c r="H396" s="5" t="s">
        <v>35</v>
      </c>
      <c r="I396" s="5" t="s">
        <v>40</v>
      </c>
      <c r="J396" s="5" t="s">
        <v>47</v>
      </c>
      <c r="K396" s="3">
        <v>93</v>
      </c>
      <c r="L396" s="11">
        <f>jewels[[#This Row],[Unit Price]]/(1+40%)</f>
        <v>409972.1428571429</v>
      </c>
      <c r="M396" s="11">
        <v>573961</v>
      </c>
      <c r="N396" s="3">
        <v>2</v>
      </c>
      <c r="O396" s="11">
        <f>jewels[[#This Row],[Cost ]]*jewels[[#This Row],[Sales_Qty]]</f>
        <v>819944.2857142858</v>
      </c>
      <c r="P396" s="11">
        <v>1147922</v>
      </c>
      <c r="Q396" s="11">
        <f>jewels[[#This Row],[Total Sales Value]]-jewels[[#This Row],[Cost Per Unit]]</f>
        <v>327977.7142857142</v>
      </c>
      <c r="R396" s="13">
        <f>jewels[[#This Row],[Profit]]/jewels[[#This Row],[Cost Per Unit]]</f>
        <v>0.39999999999999986</v>
      </c>
    </row>
    <row r="397" spans="1:18" x14ac:dyDescent="0.25">
      <c r="A397" s="3">
        <v>396</v>
      </c>
      <c r="B397" s="4">
        <v>44341</v>
      </c>
      <c r="C397" s="3">
        <v>2021</v>
      </c>
      <c r="D397" s="3">
        <v>5</v>
      </c>
      <c r="E397" s="5" t="s">
        <v>53</v>
      </c>
      <c r="F397" s="3">
        <v>258</v>
      </c>
      <c r="G397" s="5" t="s">
        <v>60</v>
      </c>
      <c r="H397" s="5" t="s">
        <v>16</v>
      </c>
      <c r="I397" s="5" t="s">
        <v>39</v>
      </c>
      <c r="J397" s="5" t="s">
        <v>32</v>
      </c>
      <c r="K397" s="3">
        <v>93</v>
      </c>
      <c r="L397" s="11">
        <f>jewels[[#This Row],[Unit Price]]/(1+40%)</f>
        <v>5559862.1428571437</v>
      </c>
      <c r="M397" s="11">
        <v>7783807</v>
      </c>
      <c r="N397" s="3">
        <v>8</v>
      </c>
      <c r="O397" s="11">
        <f>jewels[[#This Row],[Cost ]]*jewels[[#This Row],[Sales_Qty]]</f>
        <v>44478897.142857149</v>
      </c>
      <c r="P397" s="11">
        <v>62270456</v>
      </c>
      <c r="Q397" s="11">
        <f>jewels[[#This Row],[Total Sales Value]]-jewels[[#This Row],[Cost Per Unit]]</f>
        <v>17791558.857142851</v>
      </c>
      <c r="R397" s="13">
        <f>jewels[[#This Row],[Profit]]/jewels[[#This Row],[Cost Per Unit]]</f>
        <v>0.3999999999999998</v>
      </c>
    </row>
    <row r="398" spans="1:18" x14ac:dyDescent="0.25">
      <c r="A398" s="3">
        <v>397</v>
      </c>
      <c r="B398" s="4">
        <v>44072</v>
      </c>
      <c r="C398" s="3">
        <v>2020</v>
      </c>
      <c r="D398" s="3">
        <v>8</v>
      </c>
      <c r="E398" s="5" t="s">
        <v>51</v>
      </c>
      <c r="F398" s="3">
        <v>159</v>
      </c>
      <c r="G398" s="5" t="s">
        <v>42</v>
      </c>
      <c r="H398" s="5" t="s">
        <v>26</v>
      </c>
      <c r="I398" s="5" t="s">
        <v>22</v>
      </c>
      <c r="J398" s="5" t="s">
        <v>50</v>
      </c>
      <c r="K398" s="3">
        <v>86</v>
      </c>
      <c r="L398" s="11">
        <f>jewels[[#This Row],[Unit Price]]/(1+40%)</f>
        <v>292470.71428571432</v>
      </c>
      <c r="M398" s="11">
        <v>409459</v>
      </c>
      <c r="N398" s="3">
        <v>1</v>
      </c>
      <c r="O398" s="11">
        <f>jewels[[#This Row],[Cost ]]*jewels[[#This Row],[Sales_Qty]]</f>
        <v>292470.71428571432</v>
      </c>
      <c r="P398" s="11">
        <v>409459</v>
      </c>
      <c r="Q398" s="11">
        <f>jewels[[#This Row],[Total Sales Value]]-jewels[[#This Row],[Cost Per Unit]]</f>
        <v>116988.28571428568</v>
      </c>
      <c r="R398" s="13">
        <f>jewels[[#This Row],[Profit]]/jewels[[#This Row],[Cost Per Unit]]</f>
        <v>0.39999999999999986</v>
      </c>
    </row>
    <row r="399" spans="1:18" x14ac:dyDescent="0.25">
      <c r="A399" s="3">
        <v>398</v>
      </c>
      <c r="B399" s="4">
        <v>44406</v>
      </c>
      <c r="C399" s="3">
        <v>2021</v>
      </c>
      <c r="D399" s="3">
        <v>7</v>
      </c>
      <c r="E399" s="5" t="s">
        <v>49</v>
      </c>
      <c r="F399" s="3">
        <v>140</v>
      </c>
      <c r="G399" s="5" t="s">
        <v>64</v>
      </c>
      <c r="H399" s="5" t="s">
        <v>26</v>
      </c>
      <c r="I399" s="5" t="s">
        <v>39</v>
      </c>
      <c r="J399" s="5" t="s">
        <v>32</v>
      </c>
      <c r="K399" s="3">
        <v>77</v>
      </c>
      <c r="L399" s="11">
        <f>jewels[[#This Row],[Unit Price]]/(1+40%)</f>
        <v>565109.2857142858</v>
      </c>
      <c r="M399" s="11">
        <v>791153</v>
      </c>
      <c r="N399" s="3">
        <v>3</v>
      </c>
      <c r="O399" s="11">
        <f>jewels[[#This Row],[Cost ]]*jewels[[#This Row],[Sales_Qty]]</f>
        <v>1695327.8571428573</v>
      </c>
      <c r="P399" s="11">
        <v>2373459</v>
      </c>
      <c r="Q399" s="11">
        <f>jewels[[#This Row],[Total Sales Value]]-jewels[[#This Row],[Cost Per Unit]]</f>
        <v>678131.14285714272</v>
      </c>
      <c r="R399" s="13">
        <f>jewels[[#This Row],[Profit]]/jewels[[#This Row],[Cost Per Unit]]</f>
        <v>0.39999999999999991</v>
      </c>
    </row>
    <row r="400" spans="1:18" x14ac:dyDescent="0.25">
      <c r="A400" s="3">
        <v>399</v>
      </c>
      <c r="B400" s="4">
        <v>44984</v>
      </c>
      <c r="C400" s="3">
        <v>2023</v>
      </c>
      <c r="D400" s="3">
        <v>2</v>
      </c>
      <c r="E400" s="5" t="s">
        <v>19</v>
      </c>
      <c r="F400" s="3">
        <v>22</v>
      </c>
      <c r="G400" s="5" t="s">
        <v>34</v>
      </c>
      <c r="H400" s="5" t="s">
        <v>35</v>
      </c>
      <c r="I400" s="5" t="s">
        <v>39</v>
      </c>
      <c r="J400" s="5" t="s">
        <v>18</v>
      </c>
      <c r="K400" s="3">
        <v>84</v>
      </c>
      <c r="L400" s="11">
        <f>jewels[[#This Row],[Unit Price]]/(1+40%)</f>
        <v>4666142.1428571427</v>
      </c>
      <c r="M400" s="11">
        <v>6532599</v>
      </c>
      <c r="N400" s="3">
        <v>8</v>
      </c>
      <c r="O400" s="11">
        <f>jewels[[#This Row],[Cost ]]*jewels[[#This Row],[Sales_Qty]]</f>
        <v>37329137.142857142</v>
      </c>
      <c r="P400" s="11">
        <v>52260792</v>
      </c>
      <c r="Q400" s="11">
        <f>jewels[[#This Row],[Total Sales Value]]-jewels[[#This Row],[Cost Per Unit]]</f>
        <v>14931654.857142858</v>
      </c>
      <c r="R400" s="13">
        <f>jewels[[#This Row],[Profit]]/jewels[[#This Row],[Cost Per Unit]]</f>
        <v>0.4</v>
      </c>
    </row>
    <row r="401" spans="1:18" x14ac:dyDescent="0.25">
      <c r="A401" s="3">
        <v>400</v>
      </c>
      <c r="B401" s="4">
        <v>44952</v>
      </c>
      <c r="C401" s="3">
        <v>2023</v>
      </c>
      <c r="D401" s="3">
        <v>1</v>
      </c>
      <c r="E401" s="5" t="s">
        <v>41</v>
      </c>
      <c r="F401" s="3">
        <v>459</v>
      </c>
      <c r="G401" s="5" t="s">
        <v>52</v>
      </c>
      <c r="H401" s="5" t="s">
        <v>21</v>
      </c>
      <c r="I401" s="5" t="s">
        <v>40</v>
      </c>
      <c r="J401" s="5" t="s">
        <v>47</v>
      </c>
      <c r="K401" s="3">
        <v>95</v>
      </c>
      <c r="L401" s="11">
        <f>jewels[[#This Row],[Unit Price]]/(1+40%)</f>
        <v>5171417.1428571427</v>
      </c>
      <c r="M401" s="11">
        <v>7239984</v>
      </c>
      <c r="N401" s="3">
        <v>5</v>
      </c>
      <c r="O401" s="11">
        <f>jewels[[#This Row],[Cost ]]*jewels[[#This Row],[Sales_Qty]]</f>
        <v>25857085.714285713</v>
      </c>
      <c r="P401" s="11">
        <v>36199920</v>
      </c>
      <c r="Q401" s="11">
        <f>jewels[[#This Row],[Total Sales Value]]-jewels[[#This Row],[Cost Per Unit]]</f>
        <v>10342834.285714287</v>
      </c>
      <c r="R401" s="13">
        <f>jewels[[#This Row],[Profit]]/jewels[[#This Row],[Cost Per Unit]]</f>
        <v>0.40000000000000008</v>
      </c>
    </row>
    <row r="402" spans="1:18" x14ac:dyDescent="0.25">
      <c r="A402" s="3">
        <v>401</v>
      </c>
      <c r="B402" s="4">
        <v>45143</v>
      </c>
      <c r="C402" s="3">
        <v>2023</v>
      </c>
      <c r="D402" s="3">
        <v>8</v>
      </c>
      <c r="E402" s="5" t="s">
        <v>51</v>
      </c>
      <c r="F402" s="3">
        <v>98</v>
      </c>
      <c r="G402" s="5" t="s">
        <v>63</v>
      </c>
      <c r="H402" s="5" t="s">
        <v>21</v>
      </c>
      <c r="I402" s="5" t="s">
        <v>27</v>
      </c>
      <c r="J402" s="5" t="s">
        <v>28</v>
      </c>
      <c r="K402" s="3">
        <v>89</v>
      </c>
      <c r="L402" s="11">
        <f>jewels[[#This Row],[Unit Price]]/(1+40%)</f>
        <v>5229082.8571428573</v>
      </c>
      <c r="M402" s="11">
        <v>7320716</v>
      </c>
      <c r="N402" s="3">
        <v>10</v>
      </c>
      <c r="O402" s="11">
        <f>jewels[[#This Row],[Cost ]]*jewels[[#This Row],[Sales_Qty]]</f>
        <v>52290828.571428575</v>
      </c>
      <c r="P402" s="11">
        <v>73207160</v>
      </c>
      <c r="Q402" s="11">
        <f>jewels[[#This Row],[Total Sales Value]]-jewels[[#This Row],[Cost Per Unit]]</f>
        <v>20916331.428571425</v>
      </c>
      <c r="R402" s="13">
        <f>jewels[[#This Row],[Profit]]/jewels[[#This Row],[Cost Per Unit]]</f>
        <v>0.39999999999999991</v>
      </c>
    </row>
    <row r="403" spans="1:18" x14ac:dyDescent="0.25">
      <c r="A403" s="3">
        <v>402</v>
      </c>
      <c r="B403" s="4">
        <v>45173</v>
      </c>
      <c r="C403" s="3">
        <v>2023</v>
      </c>
      <c r="D403" s="3">
        <v>9</v>
      </c>
      <c r="E403" s="5" t="s">
        <v>33</v>
      </c>
      <c r="F403" s="3">
        <v>14</v>
      </c>
      <c r="G403" s="5" t="s">
        <v>54</v>
      </c>
      <c r="H403" s="5" t="s">
        <v>21</v>
      </c>
      <c r="I403" s="5" t="s">
        <v>40</v>
      </c>
      <c r="J403" s="5" t="s">
        <v>30</v>
      </c>
      <c r="K403" s="3">
        <v>56</v>
      </c>
      <c r="L403" s="11">
        <f>jewels[[#This Row],[Unit Price]]/(1+40%)</f>
        <v>3606753.5714285718</v>
      </c>
      <c r="M403" s="11">
        <v>5049455</v>
      </c>
      <c r="N403" s="3">
        <v>4</v>
      </c>
      <c r="O403" s="11">
        <f>jewels[[#This Row],[Cost ]]*jewels[[#This Row],[Sales_Qty]]</f>
        <v>14427014.285714287</v>
      </c>
      <c r="P403" s="11">
        <v>20197820</v>
      </c>
      <c r="Q403" s="11">
        <f>jewels[[#This Row],[Total Sales Value]]-jewels[[#This Row],[Cost Per Unit]]</f>
        <v>5770805.7142857127</v>
      </c>
      <c r="R403" s="13">
        <f>jewels[[#This Row],[Profit]]/jewels[[#This Row],[Cost Per Unit]]</f>
        <v>0.39999999999999986</v>
      </c>
    </row>
    <row r="404" spans="1:18" x14ac:dyDescent="0.25">
      <c r="A404" s="3">
        <v>403</v>
      </c>
      <c r="B404" s="4">
        <v>44377</v>
      </c>
      <c r="C404" s="3">
        <v>2021</v>
      </c>
      <c r="D404" s="3">
        <v>6</v>
      </c>
      <c r="E404" s="5" t="s">
        <v>14</v>
      </c>
      <c r="F404" s="3">
        <v>330</v>
      </c>
      <c r="G404" s="5" t="s">
        <v>59</v>
      </c>
      <c r="H404" s="5" t="s">
        <v>56</v>
      </c>
      <c r="I404" s="5" t="s">
        <v>40</v>
      </c>
      <c r="J404" s="5" t="s">
        <v>28</v>
      </c>
      <c r="K404" s="3">
        <v>63</v>
      </c>
      <c r="L404" s="11">
        <f>jewels[[#This Row],[Unit Price]]/(1+40%)</f>
        <v>6832379.2857142864</v>
      </c>
      <c r="M404" s="11">
        <v>9565331</v>
      </c>
      <c r="N404" s="3">
        <v>5</v>
      </c>
      <c r="O404" s="11">
        <f>jewels[[#This Row],[Cost ]]*jewels[[#This Row],[Sales_Qty]]</f>
        <v>34161896.428571433</v>
      </c>
      <c r="P404" s="11">
        <v>47826655</v>
      </c>
      <c r="Q404" s="11">
        <f>jewels[[#This Row],[Total Sales Value]]-jewels[[#This Row],[Cost Per Unit]]</f>
        <v>13664758.571428567</v>
      </c>
      <c r="R404" s="13">
        <f>jewels[[#This Row],[Profit]]/jewels[[#This Row],[Cost Per Unit]]</f>
        <v>0.3999999999999998</v>
      </c>
    </row>
    <row r="405" spans="1:18" x14ac:dyDescent="0.25">
      <c r="A405" s="3">
        <v>404</v>
      </c>
      <c r="B405" s="4">
        <v>44242</v>
      </c>
      <c r="C405" s="3">
        <v>2021</v>
      </c>
      <c r="D405" s="3">
        <v>2</v>
      </c>
      <c r="E405" s="5" t="s">
        <v>19</v>
      </c>
      <c r="F405" s="3">
        <v>90</v>
      </c>
      <c r="G405" s="5" t="s">
        <v>36</v>
      </c>
      <c r="H405" s="5" t="s">
        <v>16</v>
      </c>
      <c r="I405" s="5" t="s">
        <v>17</v>
      </c>
      <c r="J405" s="5" t="s">
        <v>18</v>
      </c>
      <c r="K405" s="3">
        <v>58</v>
      </c>
      <c r="L405" s="11">
        <f>jewels[[#This Row],[Unit Price]]/(1+40%)</f>
        <v>3965855.7142857146</v>
      </c>
      <c r="M405" s="11">
        <v>5552198</v>
      </c>
      <c r="N405" s="3">
        <v>7</v>
      </c>
      <c r="O405" s="11">
        <f>jewels[[#This Row],[Cost ]]*jewels[[#This Row],[Sales_Qty]]</f>
        <v>27760990</v>
      </c>
      <c r="P405" s="11">
        <v>38865386</v>
      </c>
      <c r="Q405" s="11">
        <f>jewels[[#This Row],[Total Sales Value]]-jewels[[#This Row],[Cost Per Unit]]</f>
        <v>11104396</v>
      </c>
      <c r="R405" s="13">
        <f>jewels[[#This Row],[Profit]]/jewels[[#This Row],[Cost Per Unit]]</f>
        <v>0.4</v>
      </c>
    </row>
    <row r="406" spans="1:18" x14ac:dyDescent="0.25">
      <c r="A406" s="3">
        <v>405</v>
      </c>
      <c r="B406" s="4">
        <v>44324</v>
      </c>
      <c r="C406" s="3">
        <v>2021</v>
      </c>
      <c r="D406" s="3">
        <v>5</v>
      </c>
      <c r="E406" s="5" t="s">
        <v>53</v>
      </c>
      <c r="F406" s="3">
        <v>350</v>
      </c>
      <c r="G406" s="5" t="s">
        <v>15</v>
      </c>
      <c r="H406" s="5" t="s">
        <v>16</v>
      </c>
      <c r="I406" s="5" t="s">
        <v>27</v>
      </c>
      <c r="J406" s="5" t="s">
        <v>45</v>
      </c>
      <c r="K406" s="3">
        <v>83</v>
      </c>
      <c r="L406" s="11">
        <f>jewels[[#This Row],[Unit Price]]/(1+40%)</f>
        <v>4390656.4285714291</v>
      </c>
      <c r="M406" s="11">
        <v>6146919</v>
      </c>
      <c r="N406" s="3">
        <v>10</v>
      </c>
      <c r="O406" s="11">
        <f>jewels[[#This Row],[Cost ]]*jewels[[#This Row],[Sales_Qty]]</f>
        <v>43906564.285714291</v>
      </c>
      <c r="P406" s="11">
        <v>61469190</v>
      </c>
      <c r="Q406" s="11">
        <f>jewels[[#This Row],[Total Sales Value]]-jewels[[#This Row],[Cost Per Unit]]</f>
        <v>17562625.714285709</v>
      </c>
      <c r="R406" s="13">
        <f>jewels[[#This Row],[Profit]]/jewels[[#This Row],[Cost Per Unit]]</f>
        <v>0.39999999999999986</v>
      </c>
    </row>
    <row r="407" spans="1:18" x14ac:dyDescent="0.25">
      <c r="A407" s="3">
        <v>406</v>
      </c>
      <c r="B407" s="4">
        <v>44009</v>
      </c>
      <c r="C407" s="3">
        <v>2020</v>
      </c>
      <c r="D407" s="3">
        <v>6</v>
      </c>
      <c r="E407" s="5" t="s">
        <v>14</v>
      </c>
      <c r="F407" s="3">
        <v>258</v>
      </c>
      <c r="G407" s="5" t="s">
        <v>48</v>
      </c>
      <c r="H407" s="5" t="s">
        <v>16</v>
      </c>
      <c r="I407" s="5" t="s">
        <v>29</v>
      </c>
      <c r="J407" s="5" t="s">
        <v>50</v>
      </c>
      <c r="K407" s="3">
        <v>72</v>
      </c>
      <c r="L407" s="11">
        <f>jewels[[#This Row],[Unit Price]]/(1+40%)</f>
        <v>6561309.2857142864</v>
      </c>
      <c r="M407" s="11">
        <v>9185833</v>
      </c>
      <c r="N407" s="3">
        <v>1</v>
      </c>
      <c r="O407" s="11">
        <f>jewels[[#This Row],[Cost ]]*jewels[[#This Row],[Sales_Qty]]</f>
        <v>6561309.2857142864</v>
      </c>
      <c r="P407" s="11">
        <v>9185833</v>
      </c>
      <c r="Q407" s="11">
        <f>jewels[[#This Row],[Total Sales Value]]-jewels[[#This Row],[Cost Per Unit]]</f>
        <v>2624523.7142857136</v>
      </c>
      <c r="R407" s="13">
        <f>jewels[[#This Row],[Profit]]/jewels[[#This Row],[Cost Per Unit]]</f>
        <v>0.39999999999999986</v>
      </c>
    </row>
    <row r="408" spans="1:18" x14ac:dyDescent="0.25">
      <c r="A408" s="3">
        <v>407</v>
      </c>
      <c r="B408" s="4">
        <v>45199</v>
      </c>
      <c r="C408" s="3">
        <v>2023</v>
      </c>
      <c r="D408" s="3">
        <v>9</v>
      </c>
      <c r="E408" s="5" t="s">
        <v>33</v>
      </c>
      <c r="F408" s="3">
        <v>381</v>
      </c>
      <c r="G408" s="5" t="s">
        <v>62</v>
      </c>
      <c r="H408" s="5" t="s">
        <v>56</v>
      </c>
      <c r="I408" s="5" t="s">
        <v>27</v>
      </c>
      <c r="J408" s="5" t="s">
        <v>23</v>
      </c>
      <c r="K408" s="3">
        <v>80</v>
      </c>
      <c r="L408" s="11">
        <f>jewels[[#This Row],[Unit Price]]/(1+40%)</f>
        <v>2510342.1428571432</v>
      </c>
      <c r="M408" s="11">
        <v>3514479</v>
      </c>
      <c r="N408" s="3">
        <v>2</v>
      </c>
      <c r="O408" s="11">
        <f>jewels[[#This Row],[Cost ]]*jewels[[#This Row],[Sales_Qty]]</f>
        <v>5020684.2857142864</v>
      </c>
      <c r="P408" s="11">
        <v>7028958</v>
      </c>
      <c r="Q408" s="11">
        <f>jewels[[#This Row],[Total Sales Value]]-jewels[[#This Row],[Cost Per Unit]]</f>
        <v>2008273.7142857136</v>
      </c>
      <c r="R408" s="13">
        <f>jewels[[#This Row],[Profit]]/jewels[[#This Row],[Cost Per Unit]]</f>
        <v>0.3999999999999998</v>
      </c>
    </row>
    <row r="409" spans="1:18" x14ac:dyDescent="0.25">
      <c r="A409" s="3">
        <v>408</v>
      </c>
      <c r="B409" s="4">
        <v>44517</v>
      </c>
      <c r="C409" s="3">
        <v>2021</v>
      </c>
      <c r="D409" s="3">
        <v>11</v>
      </c>
      <c r="E409" s="5" t="s">
        <v>58</v>
      </c>
      <c r="F409" s="3">
        <v>447</v>
      </c>
      <c r="G409" s="5" t="s">
        <v>59</v>
      </c>
      <c r="H409" s="5" t="s">
        <v>56</v>
      </c>
      <c r="I409" s="5" t="s">
        <v>40</v>
      </c>
      <c r="J409" s="5" t="s">
        <v>32</v>
      </c>
      <c r="K409" s="3">
        <v>97</v>
      </c>
      <c r="L409" s="11">
        <f>jewels[[#This Row],[Unit Price]]/(1+40%)</f>
        <v>7010165</v>
      </c>
      <c r="M409" s="11">
        <v>9814231</v>
      </c>
      <c r="N409" s="3">
        <v>2</v>
      </c>
      <c r="O409" s="11">
        <f>jewels[[#This Row],[Cost ]]*jewels[[#This Row],[Sales_Qty]]</f>
        <v>14020330</v>
      </c>
      <c r="P409" s="11">
        <v>19628462</v>
      </c>
      <c r="Q409" s="11">
        <f>jewels[[#This Row],[Total Sales Value]]-jewels[[#This Row],[Cost Per Unit]]</f>
        <v>5608132</v>
      </c>
      <c r="R409" s="13">
        <f>jewels[[#This Row],[Profit]]/jewels[[#This Row],[Cost Per Unit]]</f>
        <v>0.4</v>
      </c>
    </row>
    <row r="410" spans="1:18" x14ac:dyDescent="0.25">
      <c r="A410" s="3">
        <v>409</v>
      </c>
      <c r="B410" s="4">
        <v>44777</v>
      </c>
      <c r="C410" s="3">
        <v>2022</v>
      </c>
      <c r="D410" s="3">
        <v>8</v>
      </c>
      <c r="E410" s="5" t="s">
        <v>51</v>
      </c>
      <c r="F410" s="3">
        <v>79</v>
      </c>
      <c r="G410" s="5" t="s">
        <v>57</v>
      </c>
      <c r="H410" s="5" t="s">
        <v>35</v>
      </c>
      <c r="I410" s="5" t="s">
        <v>40</v>
      </c>
      <c r="J410" s="5" t="s">
        <v>28</v>
      </c>
      <c r="K410" s="3">
        <v>82</v>
      </c>
      <c r="L410" s="11">
        <f>jewels[[#This Row],[Unit Price]]/(1+40%)</f>
        <v>655435.71428571432</v>
      </c>
      <c r="M410" s="11">
        <v>917610</v>
      </c>
      <c r="N410" s="3">
        <v>1</v>
      </c>
      <c r="O410" s="11">
        <f>jewels[[#This Row],[Cost ]]*jewels[[#This Row],[Sales_Qty]]</f>
        <v>655435.71428571432</v>
      </c>
      <c r="P410" s="11">
        <v>917610</v>
      </c>
      <c r="Q410" s="11">
        <f>jewels[[#This Row],[Total Sales Value]]-jewels[[#This Row],[Cost Per Unit]]</f>
        <v>262174.28571428568</v>
      </c>
      <c r="R410" s="13">
        <f>jewels[[#This Row],[Profit]]/jewels[[#This Row],[Cost Per Unit]]</f>
        <v>0.39999999999999991</v>
      </c>
    </row>
    <row r="411" spans="1:18" x14ac:dyDescent="0.25">
      <c r="A411" s="3">
        <v>410</v>
      </c>
      <c r="B411" s="4">
        <v>44018</v>
      </c>
      <c r="C411" s="3">
        <v>2020</v>
      </c>
      <c r="D411" s="3">
        <v>7</v>
      </c>
      <c r="E411" s="5" t="s">
        <v>49</v>
      </c>
      <c r="F411" s="3">
        <v>431</v>
      </c>
      <c r="G411" s="5" t="s">
        <v>25</v>
      </c>
      <c r="H411" s="5" t="s">
        <v>26</v>
      </c>
      <c r="I411" s="5" t="s">
        <v>29</v>
      </c>
      <c r="J411" s="5" t="s">
        <v>45</v>
      </c>
      <c r="K411" s="3">
        <v>87</v>
      </c>
      <c r="L411" s="11">
        <f>jewels[[#This Row],[Unit Price]]/(1+40%)</f>
        <v>5434692.1428571437</v>
      </c>
      <c r="M411" s="11">
        <v>7608569</v>
      </c>
      <c r="N411" s="3">
        <v>7</v>
      </c>
      <c r="O411" s="11">
        <f>jewels[[#This Row],[Cost ]]*jewels[[#This Row],[Sales_Qty]]</f>
        <v>38042845.000000007</v>
      </c>
      <c r="P411" s="11">
        <v>53259983</v>
      </c>
      <c r="Q411" s="11">
        <f>jewels[[#This Row],[Total Sales Value]]-jewels[[#This Row],[Cost Per Unit]]</f>
        <v>15217137.999999993</v>
      </c>
      <c r="R411" s="13">
        <f>jewels[[#This Row],[Profit]]/jewels[[#This Row],[Cost Per Unit]]</f>
        <v>0.39999999999999974</v>
      </c>
    </row>
    <row r="412" spans="1:18" x14ac:dyDescent="0.25">
      <c r="A412" s="3">
        <v>411</v>
      </c>
      <c r="B412" s="4">
        <v>44878</v>
      </c>
      <c r="C412" s="3">
        <v>2022</v>
      </c>
      <c r="D412" s="3">
        <v>11</v>
      </c>
      <c r="E412" s="5" t="s">
        <v>58</v>
      </c>
      <c r="F412" s="3">
        <v>234</v>
      </c>
      <c r="G412" s="5" t="s">
        <v>25</v>
      </c>
      <c r="H412" s="5" t="s">
        <v>26</v>
      </c>
      <c r="I412" s="5" t="s">
        <v>27</v>
      </c>
      <c r="J412" s="5" t="s">
        <v>30</v>
      </c>
      <c r="K412" s="3">
        <v>83</v>
      </c>
      <c r="L412" s="11">
        <f>jewels[[#This Row],[Unit Price]]/(1+40%)</f>
        <v>4299124.2857142864</v>
      </c>
      <c r="M412" s="11">
        <v>6018774</v>
      </c>
      <c r="N412" s="3">
        <v>10</v>
      </c>
      <c r="O412" s="11">
        <f>jewels[[#This Row],[Cost ]]*jewels[[#This Row],[Sales_Qty]]</f>
        <v>42991242.857142866</v>
      </c>
      <c r="P412" s="11">
        <v>60187740</v>
      </c>
      <c r="Q412" s="11">
        <f>jewels[[#This Row],[Total Sales Value]]-jewels[[#This Row],[Cost Per Unit]]</f>
        <v>17196497.142857134</v>
      </c>
      <c r="R412" s="13">
        <f>jewels[[#This Row],[Profit]]/jewels[[#This Row],[Cost Per Unit]]</f>
        <v>0.39999999999999974</v>
      </c>
    </row>
    <row r="413" spans="1:18" x14ac:dyDescent="0.25">
      <c r="A413" s="3">
        <v>412</v>
      </c>
      <c r="B413" s="4">
        <v>44546</v>
      </c>
      <c r="C413" s="3">
        <v>2021</v>
      </c>
      <c r="D413" s="3">
        <v>12</v>
      </c>
      <c r="E413" s="5" t="s">
        <v>37</v>
      </c>
      <c r="F413" s="3">
        <v>177</v>
      </c>
      <c r="G413" s="5" t="s">
        <v>34</v>
      </c>
      <c r="H413" s="5" t="s">
        <v>35</v>
      </c>
      <c r="I413" s="5" t="s">
        <v>29</v>
      </c>
      <c r="J413" s="5" t="s">
        <v>23</v>
      </c>
      <c r="K413" s="3">
        <v>78</v>
      </c>
      <c r="L413" s="11">
        <f>jewels[[#This Row],[Unit Price]]/(1+40%)</f>
        <v>5211931.4285714291</v>
      </c>
      <c r="M413" s="11">
        <v>7296704</v>
      </c>
      <c r="N413" s="3">
        <v>8</v>
      </c>
      <c r="O413" s="11">
        <f>jewels[[#This Row],[Cost ]]*jewels[[#This Row],[Sales_Qty]]</f>
        <v>41695451.428571433</v>
      </c>
      <c r="P413" s="11">
        <v>58373632</v>
      </c>
      <c r="Q413" s="11">
        <f>jewels[[#This Row],[Total Sales Value]]-jewels[[#This Row],[Cost Per Unit]]</f>
        <v>16678180.571428567</v>
      </c>
      <c r="R413" s="13">
        <f>jewels[[#This Row],[Profit]]/jewels[[#This Row],[Cost Per Unit]]</f>
        <v>0.39999999999999986</v>
      </c>
    </row>
    <row r="414" spans="1:18" x14ac:dyDescent="0.25">
      <c r="A414" s="3">
        <v>413</v>
      </c>
      <c r="B414" s="4">
        <v>45129</v>
      </c>
      <c r="C414" s="3">
        <v>2023</v>
      </c>
      <c r="D414" s="3">
        <v>7</v>
      </c>
      <c r="E414" s="5" t="s">
        <v>49</v>
      </c>
      <c r="F414" s="3">
        <v>122</v>
      </c>
      <c r="G414" s="5" t="s">
        <v>15</v>
      </c>
      <c r="H414" s="5" t="s">
        <v>16</v>
      </c>
      <c r="I414" s="5" t="s">
        <v>40</v>
      </c>
      <c r="J414" s="5" t="s">
        <v>30</v>
      </c>
      <c r="K414" s="3">
        <v>68</v>
      </c>
      <c r="L414" s="11">
        <f>jewels[[#This Row],[Unit Price]]/(1+40%)</f>
        <v>7009847.1428571437</v>
      </c>
      <c r="M414" s="11">
        <v>9813786</v>
      </c>
      <c r="N414" s="3">
        <v>9</v>
      </c>
      <c r="O414" s="11">
        <f>jewels[[#This Row],[Cost ]]*jewels[[#This Row],[Sales_Qty]]</f>
        <v>63088624.285714291</v>
      </c>
      <c r="P414" s="11">
        <v>88324074</v>
      </c>
      <c r="Q414" s="11">
        <f>jewels[[#This Row],[Total Sales Value]]-jewels[[#This Row],[Cost Per Unit]]</f>
        <v>25235449.714285709</v>
      </c>
      <c r="R414" s="13">
        <f>jewels[[#This Row],[Profit]]/jewels[[#This Row],[Cost Per Unit]]</f>
        <v>0.39999999999999986</v>
      </c>
    </row>
    <row r="415" spans="1:18" x14ac:dyDescent="0.25">
      <c r="A415" s="3">
        <v>414</v>
      </c>
      <c r="B415" s="4">
        <v>44194</v>
      </c>
      <c r="C415" s="3">
        <v>2020</v>
      </c>
      <c r="D415" s="3">
        <v>12</v>
      </c>
      <c r="E415" s="5" t="s">
        <v>37</v>
      </c>
      <c r="F415" s="3">
        <v>144</v>
      </c>
      <c r="G415" s="5" t="s">
        <v>20</v>
      </c>
      <c r="H415" s="5" t="s">
        <v>21</v>
      </c>
      <c r="I415" s="5" t="s">
        <v>40</v>
      </c>
      <c r="J415" s="5" t="s">
        <v>28</v>
      </c>
      <c r="K415" s="3">
        <v>61</v>
      </c>
      <c r="L415" s="11">
        <f>jewels[[#This Row],[Unit Price]]/(1+40%)</f>
        <v>4029690.7142857146</v>
      </c>
      <c r="M415" s="11">
        <v>5641567</v>
      </c>
      <c r="N415" s="3">
        <v>5</v>
      </c>
      <c r="O415" s="11">
        <f>jewels[[#This Row],[Cost ]]*jewels[[#This Row],[Sales_Qty]]</f>
        <v>20148453.571428575</v>
      </c>
      <c r="P415" s="11">
        <v>28207835</v>
      </c>
      <c r="Q415" s="11">
        <f>jewels[[#This Row],[Total Sales Value]]-jewels[[#This Row],[Cost Per Unit]]</f>
        <v>8059381.4285714254</v>
      </c>
      <c r="R415" s="13">
        <f>jewels[[#This Row],[Profit]]/jewels[[#This Row],[Cost Per Unit]]</f>
        <v>0.3999999999999998</v>
      </c>
    </row>
    <row r="416" spans="1:18" x14ac:dyDescent="0.25">
      <c r="A416" s="3">
        <v>415</v>
      </c>
      <c r="B416" s="4">
        <v>44976</v>
      </c>
      <c r="C416" s="3">
        <v>2023</v>
      </c>
      <c r="D416" s="3">
        <v>2</v>
      </c>
      <c r="E416" s="5" t="s">
        <v>19</v>
      </c>
      <c r="F416" s="3">
        <v>147</v>
      </c>
      <c r="G416" s="5" t="s">
        <v>63</v>
      </c>
      <c r="H416" s="5" t="s">
        <v>21</v>
      </c>
      <c r="I416" s="5" t="s">
        <v>27</v>
      </c>
      <c r="J416" s="5" t="s">
        <v>45</v>
      </c>
      <c r="K416" s="3">
        <v>74</v>
      </c>
      <c r="L416" s="11">
        <f>jewels[[#This Row],[Unit Price]]/(1+40%)</f>
        <v>4203335</v>
      </c>
      <c r="M416" s="11">
        <v>5884669</v>
      </c>
      <c r="N416" s="3">
        <v>10</v>
      </c>
      <c r="O416" s="11">
        <f>jewels[[#This Row],[Cost ]]*jewels[[#This Row],[Sales_Qty]]</f>
        <v>42033350</v>
      </c>
      <c r="P416" s="11">
        <v>58846690</v>
      </c>
      <c r="Q416" s="11">
        <f>jewels[[#This Row],[Total Sales Value]]-jewels[[#This Row],[Cost Per Unit]]</f>
        <v>16813340</v>
      </c>
      <c r="R416" s="13">
        <f>jewels[[#This Row],[Profit]]/jewels[[#This Row],[Cost Per Unit]]</f>
        <v>0.4</v>
      </c>
    </row>
    <row r="417" spans="1:18" x14ac:dyDescent="0.25">
      <c r="A417" s="3">
        <v>416</v>
      </c>
      <c r="B417" s="4">
        <v>44828</v>
      </c>
      <c r="C417" s="3">
        <v>2022</v>
      </c>
      <c r="D417" s="3">
        <v>9</v>
      </c>
      <c r="E417" s="5" t="s">
        <v>33</v>
      </c>
      <c r="F417" s="3">
        <v>104</v>
      </c>
      <c r="G417" s="5" t="s">
        <v>48</v>
      </c>
      <c r="H417" s="5" t="s">
        <v>16</v>
      </c>
      <c r="I417" s="5" t="s">
        <v>39</v>
      </c>
      <c r="J417" s="5" t="s">
        <v>45</v>
      </c>
      <c r="K417" s="3">
        <v>83</v>
      </c>
      <c r="L417" s="11">
        <f>jewels[[#This Row],[Unit Price]]/(1+40%)</f>
        <v>3290242.1428571432</v>
      </c>
      <c r="M417" s="11">
        <v>4606339</v>
      </c>
      <c r="N417" s="3">
        <v>6</v>
      </c>
      <c r="O417" s="11">
        <f>jewels[[#This Row],[Cost ]]*jewels[[#This Row],[Sales_Qty]]</f>
        <v>19741452.857142858</v>
      </c>
      <c r="P417" s="11">
        <v>27638034</v>
      </c>
      <c r="Q417" s="11">
        <f>jewels[[#This Row],[Total Sales Value]]-jewels[[#This Row],[Cost Per Unit]]</f>
        <v>7896581.1428571418</v>
      </c>
      <c r="R417" s="13">
        <f>jewels[[#This Row],[Profit]]/jewels[[#This Row],[Cost Per Unit]]</f>
        <v>0.39999999999999991</v>
      </c>
    </row>
    <row r="418" spans="1:18" x14ac:dyDescent="0.25">
      <c r="A418" s="3">
        <v>417</v>
      </c>
      <c r="B418" s="4">
        <v>45372</v>
      </c>
      <c r="C418" s="3">
        <v>2024</v>
      </c>
      <c r="D418" s="3">
        <v>3</v>
      </c>
      <c r="E418" s="5" t="s">
        <v>43</v>
      </c>
      <c r="F418" s="3">
        <v>356</v>
      </c>
      <c r="G418" s="5" t="s">
        <v>46</v>
      </c>
      <c r="H418" s="5" t="s">
        <v>35</v>
      </c>
      <c r="I418" s="5" t="s">
        <v>39</v>
      </c>
      <c r="J418" s="5" t="s">
        <v>45</v>
      </c>
      <c r="K418" s="3">
        <v>55</v>
      </c>
      <c r="L418" s="11">
        <f>jewels[[#This Row],[Unit Price]]/(1+40%)</f>
        <v>2681214.2857142859</v>
      </c>
      <c r="M418" s="11">
        <v>3753700</v>
      </c>
      <c r="N418" s="3">
        <v>9</v>
      </c>
      <c r="O418" s="11">
        <f>jewels[[#This Row],[Cost ]]*jewels[[#This Row],[Sales_Qty]]</f>
        <v>24130928.571428575</v>
      </c>
      <c r="P418" s="11">
        <v>33783300</v>
      </c>
      <c r="Q418" s="11">
        <f>jewels[[#This Row],[Total Sales Value]]-jewels[[#This Row],[Cost Per Unit]]</f>
        <v>9652371.4285714254</v>
      </c>
      <c r="R418" s="13">
        <f>jewels[[#This Row],[Profit]]/jewels[[#This Row],[Cost Per Unit]]</f>
        <v>0.3999999999999998</v>
      </c>
    </row>
    <row r="419" spans="1:18" x14ac:dyDescent="0.25">
      <c r="A419" s="3">
        <v>418</v>
      </c>
      <c r="B419" s="4">
        <v>45116</v>
      </c>
      <c r="C419" s="3">
        <v>2023</v>
      </c>
      <c r="D419" s="3">
        <v>7</v>
      </c>
      <c r="E419" s="5" t="s">
        <v>49</v>
      </c>
      <c r="F419" s="3">
        <v>376</v>
      </c>
      <c r="G419" s="5" t="s">
        <v>59</v>
      </c>
      <c r="H419" s="5" t="s">
        <v>56</v>
      </c>
      <c r="I419" s="5" t="s">
        <v>17</v>
      </c>
      <c r="J419" s="5" t="s">
        <v>45</v>
      </c>
      <c r="K419" s="3">
        <v>90</v>
      </c>
      <c r="L419" s="11">
        <f>jewels[[#This Row],[Unit Price]]/(1+40%)</f>
        <v>5519832.8571428573</v>
      </c>
      <c r="M419" s="11">
        <v>7727766</v>
      </c>
      <c r="N419" s="3">
        <v>2</v>
      </c>
      <c r="O419" s="11">
        <f>jewels[[#This Row],[Cost ]]*jewels[[#This Row],[Sales_Qty]]</f>
        <v>11039665.714285715</v>
      </c>
      <c r="P419" s="11">
        <v>15455532</v>
      </c>
      <c r="Q419" s="11">
        <f>jewels[[#This Row],[Total Sales Value]]-jewels[[#This Row],[Cost Per Unit]]</f>
        <v>4415866.2857142854</v>
      </c>
      <c r="R419" s="13">
        <f>jewels[[#This Row],[Profit]]/jewels[[#This Row],[Cost Per Unit]]</f>
        <v>0.39999999999999997</v>
      </c>
    </row>
    <row r="420" spans="1:18" x14ac:dyDescent="0.25">
      <c r="A420" s="3">
        <v>419</v>
      </c>
      <c r="B420" s="4">
        <v>45358</v>
      </c>
      <c r="C420" s="3">
        <v>2024</v>
      </c>
      <c r="D420" s="3">
        <v>3</v>
      </c>
      <c r="E420" s="5" t="s">
        <v>43</v>
      </c>
      <c r="F420" s="3">
        <v>5</v>
      </c>
      <c r="G420" s="5" t="s">
        <v>62</v>
      </c>
      <c r="H420" s="5" t="s">
        <v>56</v>
      </c>
      <c r="I420" s="5" t="s">
        <v>29</v>
      </c>
      <c r="J420" s="5" t="s">
        <v>45</v>
      </c>
      <c r="K420" s="3">
        <v>55</v>
      </c>
      <c r="L420" s="11">
        <f>jewels[[#This Row],[Unit Price]]/(1+40%)</f>
        <v>1822206.4285714286</v>
      </c>
      <c r="M420" s="11">
        <v>2551089</v>
      </c>
      <c r="N420" s="3">
        <v>8</v>
      </c>
      <c r="O420" s="11">
        <f>jewels[[#This Row],[Cost ]]*jewels[[#This Row],[Sales_Qty]]</f>
        <v>14577651.428571429</v>
      </c>
      <c r="P420" s="11">
        <v>20408712</v>
      </c>
      <c r="Q420" s="11">
        <f>jewels[[#This Row],[Total Sales Value]]-jewels[[#This Row],[Cost Per Unit]]</f>
        <v>5831060.5714285709</v>
      </c>
      <c r="R420" s="13">
        <f>jewels[[#This Row],[Profit]]/jewels[[#This Row],[Cost Per Unit]]</f>
        <v>0.39999999999999997</v>
      </c>
    </row>
    <row r="421" spans="1:18" x14ac:dyDescent="0.25">
      <c r="A421" s="3">
        <v>420</v>
      </c>
      <c r="B421" s="4">
        <v>44566</v>
      </c>
      <c r="C421" s="3">
        <v>2022</v>
      </c>
      <c r="D421" s="3">
        <v>1</v>
      </c>
      <c r="E421" s="5" t="s">
        <v>41</v>
      </c>
      <c r="F421" s="3">
        <v>43</v>
      </c>
      <c r="G421" s="5" t="s">
        <v>52</v>
      </c>
      <c r="H421" s="5" t="s">
        <v>21</v>
      </c>
      <c r="I421" s="5" t="s">
        <v>40</v>
      </c>
      <c r="J421" s="5" t="s">
        <v>32</v>
      </c>
      <c r="K421" s="3">
        <v>97</v>
      </c>
      <c r="L421" s="11">
        <f>jewels[[#This Row],[Unit Price]]/(1+40%)</f>
        <v>297572.1428571429</v>
      </c>
      <c r="M421" s="11">
        <v>416601</v>
      </c>
      <c r="N421" s="3">
        <v>2</v>
      </c>
      <c r="O421" s="11">
        <f>jewels[[#This Row],[Cost ]]*jewels[[#This Row],[Sales_Qty]]</f>
        <v>595144.2857142858</v>
      </c>
      <c r="P421" s="11">
        <v>833202</v>
      </c>
      <c r="Q421" s="11">
        <f>jewels[[#This Row],[Total Sales Value]]-jewels[[#This Row],[Cost Per Unit]]</f>
        <v>238057.7142857142</v>
      </c>
      <c r="R421" s="13">
        <f>jewels[[#This Row],[Profit]]/jewels[[#This Row],[Cost Per Unit]]</f>
        <v>0.3999999999999998</v>
      </c>
    </row>
    <row r="422" spans="1:18" x14ac:dyDescent="0.25">
      <c r="A422" s="3">
        <v>421</v>
      </c>
      <c r="B422" s="4">
        <v>44831</v>
      </c>
      <c r="C422" s="3">
        <v>2022</v>
      </c>
      <c r="D422" s="3">
        <v>9</v>
      </c>
      <c r="E422" s="5" t="s">
        <v>33</v>
      </c>
      <c r="F422" s="3">
        <v>29</v>
      </c>
      <c r="G422" s="5" t="s">
        <v>34</v>
      </c>
      <c r="H422" s="5" t="s">
        <v>35</v>
      </c>
      <c r="I422" s="5" t="s">
        <v>40</v>
      </c>
      <c r="J422" s="5" t="s">
        <v>32</v>
      </c>
      <c r="K422" s="3">
        <v>83</v>
      </c>
      <c r="L422" s="11">
        <f>jewels[[#This Row],[Unit Price]]/(1+40%)</f>
        <v>4989130</v>
      </c>
      <c r="M422" s="11">
        <v>6984782</v>
      </c>
      <c r="N422" s="3">
        <v>6</v>
      </c>
      <c r="O422" s="11">
        <f>jewels[[#This Row],[Cost ]]*jewels[[#This Row],[Sales_Qty]]</f>
        <v>29934780</v>
      </c>
      <c r="P422" s="11">
        <v>41908692</v>
      </c>
      <c r="Q422" s="11">
        <f>jewels[[#This Row],[Total Sales Value]]-jewels[[#This Row],[Cost Per Unit]]</f>
        <v>11973912</v>
      </c>
      <c r="R422" s="13">
        <f>jewels[[#This Row],[Profit]]/jewels[[#This Row],[Cost Per Unit]]</f>
        <v>0.4</v>
      </c>
    </row>
    <row r="423" spans="1:18" x14ac:dyDescent="0.25">
      <c r="A423" s="3">
        <v>422</v>
      </c>
      <c r="B423" s="4">
        <v>44937</v>
      </c>
      <c r="C423" s="3">
        <v>2023</v>
      </c>
      <c r="D423" s="3">
        <v>1</v>
      </c>
      <c r="E423" s="5" t="s">
        <v>41</v>
      </c>
      <c r="F423" s="3">
        <v>231</v>
      </c>
      <c r="G423" s="5" t="s">
        <v>59</v>
      </c>
      <c r="H423" s="5" t="s">
        <v>56</v>
      </c>
      <c r="I423" s="5" t="s">
        <v>27</v>
      </c>
      <c r="J423" s="5" t="s">
        <v>47</v>
      </c>
      <c r="K423" s="3">
        <v>66</v>
      </c>
      <c r="L423" s="11">
        <f>jewels[[#This Row],[Unit Price]]/(1+40%)</f>
        <v>5830557.8571428573</v>
      </c>
      <c r="M423" s="11">
        <v>8162781</v>
      </c>
      <c r="N423" s="3">
        <v>7</v>
      </c>
      <c r="O423" s="11">
        <f>jewels[[#This Row],[Cost ]]*jewels[[#This Row],[Sales_Qty]]</f>
        <v>40813905</v>
      </c>
      <c r="P423" s="11">
        <v>57139467</v>
      </c>
      <c r="Q423" s="11">
        <f>jewels[[#This Row],[Total Sales Value]]-jewels[[#This Row],[Cost Per Unit]]</f>
        <v>16325562</v>
      </c>
      <c r="R423" s="13">
        <f>jewels[[#This Row],[Profit]]/jewels[[#This Row],[Cost Per Unit]]</f>
        <v>0.4</v>
      </c>
    </row>
    <row r="424" spans="1:18" x14ac:dyDescent="0.25">
      <c r="A424" s="3">
        <v>423</v>
      </c>
      <c r="B424" s="4">
        <v>45138</v>
      </c>
      <c r="C424" s="3">
        <v>2023</v>
      </c>
      <c r="D424" s="3">
        <v>7</v>
      </c>
      <c r="E424" s="5" t="s">
        <v>49</v>
      </c>
      <c r="F424" s="3">
        <v>454</v>
      </c>
      <c r="G424" s="5" t="s">
        <v>62</v>
      </c>
      <c r="H424" s="5" t="s">
        <v>56</v>
      </c>
      <c r="I424" s="5" t="s">
        <v>39</v>
      </c>
      <c r="J424" s="5" t="s">
        <v>23</v>
      </c>
      <c r="K424" s="3">
        <v>53</v>
      </c>
      <c r="L424" s="11">
        <f>jewels[[#This Row],[Unit Price]]/(1+40%)</f>
        <v>3525887.8571428573</v>
      </c>
      <c r="M424" s="11">
        <v>4936243</v>
      </c>
      <c r="N424" s="3">
        <v>7</v>
      </c>
      <c r="O424" s="11">
        <f>jewels[[#This Row],[Cost ]]*jewels[[#This Row],[Sales_Qty]]</f>
        <v>24681215</v>
      </c>
      <c r="P424" s="11">
        <v>34553701</v>
      </c>
      <c r="Q424" s="11">
        <f>jewels[[#This Row],[Total Sales Value]]-jewels[[#This Row],[Cost Per Unit]]</f>
        <v>9872486</v>
      </c>
      <c r="R424" s="13">
        <f>jewels[[#This Row],[Profit]]/jewels[[#This Row],[Cost Per Unit]]</f>
        <v>0.4</v>
      </c>
    </row>
    <row r="425" spans="1:18" x14ac:dyDescent="0.25">
      <c r="A425" s="3">
        <v>424</v>
      </c>
      <c r="B425" s="4">
        <v>44143</v>
      </c>
      <c r="C425" s="3">
        <v>2020</v>
      </c>
      <c r="D425" s="3">
        <v>11</v>
      </c>
      <c r="E425" s="5" t="s">
        <v>58</v>
      </c>
      <c r="F425" s="3">
        <v>126</v>
      </c>
      <c r="G425" s="5" t="s">
        <v>55</v>
      </c>
      <c r="H425" s="5" t="s">
        <v>56</v>
      </c>
      <c r="I425" s="5" t="s">
        <v>29</v>
      </c>
      <c r="J425" s="5" t="s">
        <v>30</v>
      </c>
      <c r="K425" s="3">
        <v>98</v>
      </c>
      <c r="L425" s="11">
        <f>jewels[[#This Row],[Unit Price]]/(1+40%)</f>
        <v>4350105.7142857146</v>
      </c>
      <c r="M425" s="11">
        <v>6090148</v>
      </c>
      <c r="N425" s="3">
        <v>6</v>
      </c>
      <c r="O425" s="11">
        <f>jewels[[#This Row],[Cost ]]*jewels[[#This Row],[Sales_Qty]]</f>
        <v>26100634.285714287</v>
      </c>
      <c r="P425" s="11">
        <v>36540888</v>
      </c>
      <c r="Q425" s="11">
        <f>jewels[[#This Row],[Total Sales Value]]-jewels[[#This Row],[Cost Per Unit]]</f>
        <v>10440253.714285713</v>
      </c>
      <c r="R425" s="13">
        <f>jewels[[#This Row],[Profit]]/jewels[[#This Row],[Cost Per Unit]]</f>
        <v>0.39999999999999991</v>
      </c>
    </row>
    <row r="426" spans="1:18" x14ac:dyDescent="0.25">
      <c r="A426" s="3">
        <v>425</v>
      </c>
      <c r="B426" s="4">
        <v>45351</v>
      </c>
      <c r="C426" s="3">
        <v>2024</v>
      </c>
      <c r="D426" s="3">
        <v>2</v>
      </c>
      <c r="E426" s="5" t="s">
        <v>19</v>
      </c>
      <c r="F426" s="3">
        <v>189</v>
      </c>
      <c r="G426" s="5" t="s">
        <v>38</v>
      </c>
      <c r="H426" s="5" t="s">
        <v>35</v>
      </c>
      <c r="I426" s="5" t="s">
        <v>39</v>
      </c>
      <c r="J426" s="5" t="s">
        <v>50</v>
      </c>
      <c r="K426" s="3">
        <v>63</v>
      </c>
      <c r="L426" s="11">
        <f>jewels[[#This Row],[Unit Price]]/(1+40%)</f>
        <v>6709350</v>
      </c>
      <c r="M426" s="11">
        <v>9393090</v>
      </c>
      <c r="N426" s="3">
        <v>4</v>
      </c>
      <c r="O426" s="11">
        <f>jewels[[#This Row],[Cost ]]*jewels[[#This Row],[Sales_Qty]]</f>
        <v>26837400</v>
      </c>
      <c r="P426" s="11">
        <v>37572360</v>
      </c>
      <c r="Q426" s="11">
        <f>jewels[[#This Row],[Total Sales Value]]-jewels[[#This Row],[Cost Per Unit]]</f>
        <v>10734960</v>
      </c>
      <c r="R426" s="13">
        <f>jewels[[#This Row],[Profit]]/jewels[[#This Row],[Cost Per Unit]]</f>
        <v>0.4</v>
      </c>
    </row>
    <row r="427" spans="1:18" x14ac:dyDescent="0.25">
      <c r="A427" s="3">
        <v>426</v>
      </c>
      <c r="B427" s="4">
        <v>44235</v>
      </c>
      <c r="C427" s="3">
        <v>2021</v>
      </c>
      <c r="D427" s="3">
        <v>2</v>
      </c>
      <c r="E427" s="5" t="s">
        <v>19</v>
      </c>
      <c r="F427" s="3">
        <v>266</v>
      </c>
      <c r="G427" s="5" t="s">
        <v>15</v>
      </c>
      <c r="H427" s="5" t="s">
        <v>16</v>
      </c>
      <c r="I427" s="5" t="s">
        <v>39</v>
      </c>
      <c r="J427" s="5" t="s">
        <v>30</v>
      </c>
      <c r="K427" s="3">
        <v>50</v>
      </c>
      <c r="L427" s="11">
        <f>jewels[[#This Row],[Unit Price]]/(1+40%)</f>
        <v>2324979.2857142859</v>
      </c>
      <c r="M427" s="11">
        <v>3254971</v>
      </c>
      <c r="N427" s="3">
        <v>6</v>
      </c>
      <c r="O427" s="11">
        <f>jewels[[#This Row],[Cost ]]*jewels[[#This Row],[Sales_Qty]]</f>
        <v>13949875.714285716</v>
      </c>
      <c r="P427" s="11">
        <v>19529826</v>
      </c>
      <c r="Q427" s="11">
        <f>jewels[[#This Row],[Total Sales Value]]-jewels[[#This Row],[Cost Per Unit]]</f>
        <v>5579950.2857142836</v>
      </c>
      <c r="R427" s="13">
        <f>jewels[[#This Row],[Profit]]/jewels[[#This Row],[Cost Per Unit]]</f>
        <v>0.3999999999999998</v>
      </c>
    </row>
    <row r="428" spans="1:18" x14ac:dyDescent="0.25">
      <c r="A428" s="3">
        <v>427</v>
      </c>
      <c r="B428" s="4">
        <v>45050</v>
      </c>
      <c r="C428" s="3">
        <v>2023</v>
      </c>
      <c r="D428" s="3">
        <v>5</v>
      </c>
      <c r="E428" s="5" t="s">
        <v>53</v>
      </c>
      <c r="F428" s="3">
        <v>372</v>
      </c>
      <c r="G428" s="5" t="s">
        <v>57</v>
      </c>
      <c r="H428" s="5" t="s">
        <v>35</v>
      </c>
      <c r="I428" s="5" t="s">
        <v>27</v>
      </c>
      <c r="J428" s="5" t="s">
        <v>30</v>
      </c>
      <c r="K428" s="3">
        <v>79</v>
      </c>
      <c r="L428" s="11">
        <f>jewels[[#This Row],[Unit Price]]/(1+40%)</f>
        <v>1074735</v>
      </c>
      <c r="M428" s="11">
        <v>1504629</v>
      </c>
      <c r="N428" s="3">
        <v>8</v>
      </c>
      <c r="O428" s="11">
        <f>jewels[[#This Row],[Cost ]]*jewels[[#This Row],[Sales_Qty]]</f>
        <v>8597880</v>
      </c>
      <c r="P428" s="11">
        <v>12037032</v>
      </c>
      <c r="Q428" s="11">
        <f>jewels[[#This Row],[Total Sales Value]]-jewels[[#This Row],[Cost Per Unit]]</f>
        <v>3439152</v>
      </c>
      <c r="R428" s="13">
        <f>jewels[[#This Row],[Profit]]/jewels[[#This Row],[Cost Per Unit]]</f>
        <v>0.4</v>
      </c>
    </row>
    <row r="429" spans="1:18" x14ac:dyDescent="0.25">
      <c r="A429" s="3">
        <v>428</v>
      </c>
      <c r="B429" s="4">
        <v>45281</v>
      </c>
      <c r="C429" s="3">
        <v>2023</v>
      </c>
      <c r="D429" s="3">
        <v>12</v>
      </c>
      <c r="E429" s="5" t="s">
        <v>37</v>
      </c>
      <c r="F429" s="3">
        <v>351</v>
      </c>
      <c r="G429" s="5" t="s">
        <v>25</v>
      </c>
      <c r="H429" s="5" t="s">
        <v>26</v>
      </c>
      <c r="I429" s="5" t="s">
        <v>27</v>
      </c>
      <c r="J429" s="5" t="s">
        <v>28</v>
      </c>
      <c r="K429" s="3">
        <v>88</v>
      </c>
      <c r="L429" s="11">
        <f>jewels[[#This Row],[Unit Price]]/(1+40%)</f>
        <v>1208276.4285714286</v>
      </c>
      <c r="M429" s="11">
        <v>1691587</v>
      </c>
      <c r="N429" s="3">
        <v>7</v>
      </c>
      <c r="O429" s="11">
        <f>jewels[[#This Row],[Cost ]]*jewels[[#This Row],[Sales_Qty]]</f>
        <v>8457935</v>
      </c>
      <c r="P429" s="11">
        <v>11841109</v>
      </c>
      <c r="Q429" s="11">
        <f>jewels[[#This Row],[Total Sales Value]]-jewels[[#This Row],[Cost Per Unit]]</f>
        <v>3383174</v>
      </c>
      <c r="R429" s="13">
        <f>jewels[[#This Row],[Profit]]/jewels[[#This Row],[Cost Per Unit]]</f>
        <v>0.4</v>
      </c>
    </row>
    <row r="430" spans="1:18" x14ac:dyDescent="0.25">
      <c r="A430" s="3">
        <v>429</v>
      </c>
      <c r="B430" s="4">
        <v>44067</v>
      </c>
      <c r="C430" s="3">
        <v>2020</v>
      </c>
      <c r="D430" s="3">
        <v>8</v>
      </c>
      <c r="E430" s="5" t="s">
        <v>51</v>
      </c>
      <c r="F430" s="3">
        <v>301</v>
      </c>
      <c r="G430" s="5" t="s">
        <v>48</v>
      </c>
      <c r="H430" s="5" t="s">
        <v>16</v>
      </c>
      <c r="I430" s="5" t="s">
        <v>29</v>
      </c>
      <c r="J430" s="5" t="s">
        <v>32</v>
      </c>
      <c r="K430" s="3">
        <v>85</v>
      </c>
      <c r="L430" s="11">
        <f>jewels[[#This Row],[Unit Price]]/(1+40%)</f>
        <v>949249.2857142858</v>
      </c>
      <c r="M430" s="11">
        <v>1328949</v>
      </c>
      <c r="N430" s="3">
        <v>10</v>
      </c>
      <c r="O430" s="11">
        <f>jewels[[#This Row],[Cost ]]*jewels[[#This Row],[Sales_Qty]]</f>
        <v>9492492.8571428582</v>
      </c>
      <c r="P430" s="11">
        <v>13289490</v>
      </c>
      <c r="Q430" s="11">
        <f>jewels[[#This Row],[Total Sales Value]]-jewels[[#This Row],[Cost Per Unit]]</f>
        <v>3796997.1428571418</v>
      </c>
      <c r="R430" s="13">
        <f>jewels[[#This Row],[Profit]]/jewels[[#This Row],[Cost Per Unit]]</f>
        <v>0.39999999999999986</v>
      </c>
    </row>
    <row r="431" spans="1:18" x14ac:dyDescent="0.25">
      <c r="A431" s="3">
        <v>430</v>
      </c>
      <c r="B431" s="4">
        <v>44218</v>
      </c>
      <c r="C431" s="3">
        <v>2021</v>
      </c>
      <c r="D431" s="3">
        <v>1</v>
      </c>
      <c r="E431" s="5" t="s">
        <v>41</v>
      </c>
      <c r="F431" s="3">
        <v>88</v>
      </c>
      <c r="G431" s="5" t="s">
        <v>59</v>
      </c>
      <c r="H431" s="5" t="s">
        <v>56</v>
      </c>
      <c r="I431" s="5" t="s">
        <v>27</v>
      </c>
      <c r="J431" s="5" t="s">
        <v>18</v>
      </c>
      <c r="K431" s="3">
        <v>56</v>
      </c>
      <c r="L431" s="11">
        <f>jewels[[#This Row],[Unit Price]]/(1+40%)</f>
        <v>5654200.7142857146</v>
      </c>
      <c r="M431" s="11">
        <v>7915881</v>
      </c>
      <c r="N431" s="3">
        <v>4</v>
      </c>
      <c r="O431" s="11">
        <f>jewels[[#This Row],[Cost ]]*jewels[[#This Row],[Sales_Qty]]</f>
        <v>22616802.857142858</v>
      </c>
      <c r="P431" s="11">
        <v>31663524</v>
      </c>
      <c r="Q431" s="11">
        <f>jewels[[#This Row],[Total Sales Value]]-jewels[[#This Row],[Cost Per Unit]]</f>
        <v>9046721.1428571418</v>
      </c>
      <c r="R431" s="13">
        <f>jewels[[#This Row],[Profit]]/jewels[[#This Row],[Cost Per Unit]]</f>
        <v>0.39999999999999991</v>
      </c>
    </row>
    <row r="432" spans="1:18" x14ac:dyDescent="0.25">
      <c r="A432" s="3">
        <v>431</v>
      </c>
      <c r="B432" s="4">
        <v>45044</v>
      </c>
      <c r="C432" s="3">
        <v>2023</v>
      </c>
      <c r="D432" s="3">
        <v>4</v>
      </c>
      <c r="E432" s="5" t="s">
        <v>24</v>
      </c>
      <c r="F432" s="3">
        <v>230</v>
      </c>
      <c r="G432" s="5" t="s">
        <v>46</v>
      </c>
      <c r="H432" s="5" t="s">
        <v>35</v>
      </c>
      <c r="I432" s="5" t="s">
        <v>17</v>
      </c>
      <c r="J432" s="5" t="s">
        <v>18</v>
      </c>
      <c r="K432" s="3">
        <v>94</v>
      </c>
      <c r="L432" s="11">
        <f>jewels[[#This Row],[Unit Price]]/(1+40%)</f>
        <v>1606204.2857142859</v>
      </c>
      <c r="M432" s="11">
        <v>2248686</v>
      </c>
      <c r="N432" s="3">
        <v>4</v>
      </c>
      <c r="O432" s="11">
        <f>jewels[[#This Row],[Cost ]]*jewels[[#This Row],[Sales_Qty]]</f>
        <v>6424817.1428571437</v>
      </c>
      <c r="P432" s="11">
        <v>8994744</v>
      </c>
      <c r="Q432" s="11">
        <f>jewels[[#This Row],[Total Sales Value]]-jewels[[#This Row],[Cost Per Unit]]</f>
        <v>2569926.8571428563</v>
      </c>
      <c r="R432" s="13">
        <f>jewels[[#This Row],[Profit]]/jewels[[#This Row],[Cost Per Unit]]</f>
        <v>0.3999999999999998</v>
      </c>
    </row>
    <row r="433" spans="1:18" x14ac:dyDescent="0.25">
      <c r="A433" s="3">
        <v>432</v>
      </c>
      <c r="B433" s="4">
        <v>44525</v>
      </c>
      <c r="C433" s="3">
        <v>2021</v>
      </c>
      <c r="D433" s="3">
        <v>11</v>
      </c>
      <c r="E433" s="5" t="s">
        <v>58</v>
      </c>
      <c r="F433" s="3">
        <v>232</v>
      </c>
      <c r="G433" s="5" t="s">
        <v>31</v>
      </c>
      <c r="H433" s="5" t="s">
        <v>26</v>
      </c>
      <c r="I433" s="5" t="s">
        <v>40</v>
      </c>
      <c r="J433" s="5" t="s">
        <v>45</v>
      </c>
      <c r="K433" s="3">
        <v>93</v>
      </c>
      <c r="L433" s="11">
        <f>jewels[[#This Row],[Unit Price]]/(1+40%)</f>
        <v>3059649.2857142859</v>
      </c>
      <c r="M433" s="11">
        <v>4283509</v>
      </c>
      <c r="N433" s="3">
        <v>3</v>
      </c>
      <c r="O433" s="11">
        <f>jewels[[#This Row],[Cost ]]*jewels[[#This Row],[Sales_Qty]]</f>
        <v>9178947.8571428582</v>
      </c>
      <c r="P433" s="11">
        <v>12850527</v>
      </c>
      <c r="Q433" s="11">
        <f>jewels[[#This Row],[Total Sales Value]]-jewels[[#This Row],[Cost Per Unit]]</f>
        <v>3671579.1428571418</v>
      </c>
      <c r="R433" s="13">
        <f>jewels[[#This Row],[Profit]]/jewels[[#This Row],[Cost Per Unit]]</f>
        <v>0.39999999999999986</v>
      </c>
    </row>
    <row r="434" spans="1:18" x14ac:dyDescent="0.25">
      <c r="A434" s="3">
        <v>433</v>
      </c>
      <c r="B434" s="4">
        <v>44040</v>
      </c>
      <c r="C434" s="3">
        <v>2020</v>
      </c>
      <c r="D434" s="3">
        <v>7</v>
      </c>
      <c r="E434" s="5" t="s">
        <v>49</v>
      </c>
      <c r="F434" s="3">
        <v>404</v>
      </c>
      <c r="G434" s="5" t="s">
        <v>46</v>
      </c>
      <c r="H434" s="5" t="s">
        <v>35</v>
      </c>
      <c r="I434" s="5" t="s">
        <v>40</v>
      </c>
      <c r="J434" s="5" t="s">
        <v>30</v>
      </c>
      <c r="K434" s="3">
        <v>88</v>
      </c>
      <c r="L434" s="11">
        <f>jewels[[#This Row],[Unit Price]]/(1+40%)</f>
        <v>3462437.8571428573</v>
      </c>
      <c r="M434" s="11">
        <v>4847413</v>
      </c>
      <c r="N434" s="3">
        <v>1</v>
      </c>
      <c r="O434" s="11">
        <f>jewels[[#This Row],[Cost ]]*jewels[[#This Row],[Sales_Qty]]</f>
        <v>3462437.8571428573</v>
      </c>
      <c r="P434" s="11">
        <v>4847413</v>
      </c>
      <c r="Q434" s="11">
        <f>jewels[[#This Row],[Total Sales Value]]-jewels[[#This Row],[Cost Per Unit]]</f>
        <v>1384975.1428571427</v>
      </c>
      <c r="R434" s="13">
        <f>jewels[[#This Row],[Profit]]/jewels[[#This Row],[Cost Per Unit]]</f>
        <v>0.39999999999999997</v>
      </c>
    </row>
    <row r="435" spans="1:18" x14ac:dyDescent="0.25">
      <c r="A435" s="3">
        <v>434</v>
      </c>
      <c r="B435" s="4">
        <v>44200</v>
      </c>
      <c r="C435" s="3">
        <v>2021</v>
      </c>
      <c r="D435" s="3">
        <v>1</v>
      </c>
      <c r="E435" s="5" t="s">
        <v>41</v>
      </c>
      <c r="F435" s="3">
        <v>344</v>
      </c>
      <c r="G435" s="5" t="s">
        <v>15</v>
      </c>
      <c r="H435" s="5" t="s">
        <v>16</v>
      </c>
      <c r="I435" s="5" t="s">
        <v>40</v>
      </c>
      <c r="J435" s="5" t="s">
        <v>23</v>
      </c>
      <c r="K435" s="3">
        <v>98</v>
      </c>
      <c r="L435" s="11">
        <f>jewels[[#This Row],[Unit Price]]/(1+40%)</f>
        <v>3646132.8571428573</v>
      </c>
      <c r="M435" s="11">
        <v>5104586</v>
      </c>
      <c r="N435" s="3">
        <v>2</v>
      </c>
      <c r="O435" s="11">
        <f>jewels[[#This Row],[Cost ]]*jewels[[#This Row],[Sales_Qty]]</f>
        <v>7292265.7142857146</v>
      </c>
      <c r="P435" s="11">
        <v>10209172</v>
      </c>
      <c r="Q435" s="11">
        <f>jewels[[#This Row],[Total Sales Value]]-jewels[[#This Row],[Cost Per Unit]]</f>
        <v>2916906.2857142854</v>
      </c>
      <c r="R435" s="13">
        <f>jewels[[#This Row],[Profit]]/jewels[[#This Row],[Cost Per Unit]]</f>
        <v>0.39999999999999997</v>
      </c>
    </row>
    <row r="436" spans="1:18" x14ac:dyDescent="0.25">
      <c r="A436" s="3">
        <v>435</v>
      </c>
      <c r="B436" s="4">
        <v>43959</v>
      </c>
      <c r="C436" s="3">
        <v>2020</v>
      </c>
      <c r="D436" s="3">
        <v>5</v>
      </c>
      <c r="E436" s="5" t="s">
        <v>53</v>
      </c>
      <c r="F436" s="3">
        <v>239</v>
      </c>
      <c r="G436" s="5" t="s">
        <v>25</v>
      </c>
      <c r="H436" s="5" t="s">
        <v>26</v>
      </c>
      <c r="I436" s="5" t="s">
        <v>22</v>
      </c>
      <c r="J436" s="5" t="s">
        <v>50</v>
      </c>
      <c r="K436" s="3">
        <v>75</v>
      </c>
      <c r="L436" s="11">
        <f>jewels[[#This Row],[Unit Price]]/(1+40%)</f>
        <v>5527160.7142857146</v>
      </c>
      <c r="M436" s="11">
        <v>7738025</v>
      </c>
      <c r="N436" s="3">
        <v>4</v>
      </c>
      <c r="O436" s="11">
        <f>jewels[[#This Row],[Cost ]]*jewels[[#This Row],[Sales_Qty]]</f>
        <v>22108642.857142858</v>
      </c>
      <c r="P436" s="11">
        <v>30952100</v>
      </c>
      <c r="Q436" s="11">
        <f>jewels[[#This Row],[Total Sales Value]]-jewels[[#This Row],[Cost Per Unit]]</f>
        <v>8843457.1428571418</v>
      </c>
      <c r="R436" s="13">
        <f>jewels[[#This Row],[Profit]]/jewels[[#This Row],[Cost Per Unit]]</f>
        <v>0.39999999999999991</v>
      </c>
    </row>
    <row r="437" spans="1:18" x14ac:dyDescent="0.25">
      <c r="A437" s="3">
        <v>436</v>
      </c>
      <c r="B437" s="4">
        <v>45365</v>
      </c>
      <c r="C437" s="3">
        <v>2024</v>
      </c>
      <c r="D437" s="3">
        <v>3</v>
      </c>
      <c r="E437" s="5" t="s">
        <v>43</v>
      </c>
      <c r="F437" s="3">
        <v>400</v>
      </c>
      <c r="G437" s="5" t="s">
        <v>55</v>
      </c>
      <c r="H437" s="5" t="s">
        <v>56</v>
      </c>
      <c r="I437" s="5" t="s">
        <v>17</v>
      </c>
      <c r="J437" s="5" t="s">
        <v>32</v>
      </c>
      <c r="K437" s="3">
        <v>87</v>
      </c>
      <c r="L437" s="11">
        <f>jewels[[#This Row],[Unit Price]]/(1+40%)</f>
        <v>4756643.5714285718</v>
      </c>
      <c r="M437" s="11">
        <v>6659301</v>
      </c>
      <c r="N437" s="3">
        <v>9</v>
      </c>
      <c r="O437" s="11">
        <f>jewels[[#This Row],[Cost ]]*jewels[[#This Row],[Sales_Qty]]</f>
        <v>42809792.142857149</v>
      </c>
      <c r="P437" s="11">
        <v>59933709</v>
      </c>
      <c r="Q437" s="11">
        <f>jewels[[#This Row],[Total Sales Value]]-jewels[[#This Row],[Cost Per Unit]]</f>
        <v>17123916.857142851</v>
      </c>
      <c r="R437" s="13">
        <f>jewels[[#This Row],[Profit]]/jewels[[#This Row],[Cost Per Unit]]</f>
        <v>0.3999999999999998</v>
      </c>
    </row>
    <row r="438" spans="1:18" x14ac:dyDescent="0.25">
      <c r="A438" s="3">
        <v>437</v>
      </c>
      <c r="B438" s="4">
        <v>44849</v>
      </c>
      <c r="C438" s="3">
        <v>2022</v>
      </c>
      <c r="D438" s="3">
        <v>10</v>
      </c>
      <c r="E438" s="5" t="s">
        <v>61</v>
      </c>
      <c r="F438" s="3">
        <v>428</v>
      </c>
      <c r="G438" s="5" t="s">
        <v>31</v>
      </c>
      <c r="H438" s="5" t="s">
        <v>26</v>
      </c>
      <c r="I438" s="5" t="s">
        <v>27</v>
      </c>
      <c r="J438" s="5" t="s">
        <v>50</v>
      </c>
      <c r="K438" s="3">
        <v>89</v>
      </c>
      <c r="L438" s="11">
        <f>jewels[[#This Row],[Unit Price]]/(1+40%)</f>
        <v>2056160.0000000002</v>
      </c>
      <c r="M438" s="11">
        <v>2878624</v>
      </c>
      <c r="N438" s="3">
        <v>3</v>
      </c>
      <c r="O438" s="11">
        <f>jewels[[#This Row],[Cost ]]*jewels[[#This Row],[Sales_Qty]]</f>
        <v>6168480.0000000009</v>
      </c>
      <c r="P438" s="11">
        <v>8635872</v>
      </c>
      <c r="Q438" s="11">
        <f>jewels[[#This Row],[Total Sales Value]]-jewels[[#This Row],[Cost Per Unit]]</f>
        <v>2467391.9999999991</v>
      </c>
      <c r="R438" s="13">
        <f>jewels[[#This Row],[Profit]]/jewels[[#This Row],[Cost Per Unit]]</f>
        <v>0.3999999999999998</v>
      </c>
    </row>
    <row r="439" spans="1:18" x14ac:dyDescent="0.25">
      <c r="A439" s="3">
        <v>438</v>
      </c>
      <c r="B439" s="4">
        <v>44822</v>
      </c>
      <c r="C439" s="3">
        <v>2022</v>
      </c>
      <c r="D439" s="3">
        <v>9</v>
      </c>
      <c r="E439" s="5" t="s">
        <v>33</v>
      </c>
      <c r="F439" s="3">
        <v>379</v>
      </c>
      <c r="G439" s="5" t="s">
        <v>20</v>
      </c>
      <c r="H439" s="5" t="s">
        <v>21</v>
      </c>
      <c r="I439" s="5" t="s">
        <v>27</v>
      </c>
      <c r="J439" s="5" t="s">
        <v>47</v>
      </c>
      <c r="K439" s="3">
        <v>93</v>
      </c>
      <c r="L439" s="11">
        <f>jewels[[#This Row],[Unit Price]]/(1+40%)</f>
        <v>987970.00000000012</v>
      </c>
      <c r="M439" s="11">
        <v>1383158</v>
      </c>
      <c r="N439" s="3">
        <v>7</v>
      </c>
      <c r="O439" s="11">
        <f>jewels[[#This Row],[Cost ]]*jewels[[#This Row],[Sales_Qty]]</f>
        <v>6915790.0000000009</v>
      </c>
      <c r="P439" s="11">
        <v>9682106</v>
      </c>
      <c r="Q439" s="11">
        <f>jewels[[#This Row],[Total Sales Value]]-jewels[[#This Row],[Cost Per Unit]]</f>
        <v>2766315.9999999991</v>
      </c>
      <c r="R439" s="13">
        <f>jewels[[#This Row],[Profit]]/jewels[[#This Row],[Cost Per Unit]]</f>
        <v>0.3999999999999998</v>
      </c>
    </row>
    <row r="440" spans="1:18" x14ac:dyDescent="0.25">
      <c r="A440" s="3">
        <v>439</v>
      </c>
      <c r="B440" s="4">
        <v>44563</v>
      </c>
      <c r="C440" s="3">
        <v>2022</v>
      </c>
      <c r="D440" s="3">
        <v>1</v>
      </c>
      <c r="E440" s="5" t="s">
        <v>41</v>
      </c>
      <c r="F440" s="3">
        <v>82</v>
      </c>
      <c r="G440" s="5" t="s">
        <v>48</v>
      </c>
      <c r="H440" s="5" t="s">
        <v>16</v>
      </c>
      <c r="I440" s="5" t="s">
        <v>17</v>
      </c>
      <c r="J440" s="5" t="s">
        <v>47</v>
      </c>
      <c r="K440" s="3">
        <v>76</v>
      </c>
      <c r="L440" s="11">
        <f>jewels[[#This Row],[Unit Price]]/(1+40%)</f>
        <v>4490361.4285714291</v>
      </c>
      <c r="M440" s="11">
        <v>6286506</v>
      </c>
      <c r="N440" s="3">
        <v>7</v>
      </c>
      <c r="O440" s="11">
        <f>jewels[[#This Row],[Cost ]]*jewels[[#This Row],[Sales_Qty]]</f>
        <v>31432530.000000004</v>
      </c>
      <c r="P440" s="11">
        <v>44005542</v>
      </c>
      <c r="Q440" s="11">
        <f>jewels[[#This Row],[Total Sales Value]]-jewels[[#This Row],[Cost Per Unit]]</f>
        <v>12573011.999999996</v>
      </c>
      <c r="R440" s="13">
        <f>jewels[[#This Row],[Profit]]/jewels[[#This Row],[Cost Per Unit]]</f>
        <v>0.39999999999999986</v>
      </c>
    </row>
    <row r="441" spans="1:18" x14ac:dyDescent="0.25">
      <c r="A441" s="3">
        <v>440</v>
      </c>
      <c r="B441" s="4">
        <v>44722</v>
      </c>
      <c r="C441" s="3">
        <v>2022</v>
      </c>
      <c r="D441" s="3">
        <v>6</v>
      </c>
      <c r="E441" s="5" t="s">
        <v>14</v>
      </c>
      <c r="F441" s="3">
        <v>449</v>
      </c>
      <c r="G441" s="5" t="s">
        <v>34</v>
      </c>
      <c r="H441" s="5" t="s">
        <v>35</v>
      </c>
      <c r="I441" s="5" t="s">
        <v>29</v>
      </c>
      <c r="J441" s="5" t="s">
        <v>28</v>
      </c>
      <c r="K441" s="3">
        <v>98</v>
      </c>
      <c r="L441" s="11">
        <f>jewels[[#This Row],[Unit Price]]/(1+40%)</f>
        <v>4335285</v>
      </c>
      <c r="M441" s="11">
        <v>6069399</v>
      </c>
      <c r="N441" s="3">
        <v>3</v>
      </c>
      <c r="O441" s="11">
        <f>jewels[[#This Row],[Cost ]]*jewels[[#This Row],[Sales_Qty]]</f>
        <v>13005855</v>
      </c>
      <c r="P441" s="11">
        <v>18208197</v>
      </c>
      <c r="Q441" s="11">
        <f>jewels[[#This Row],[Total Sales Value]]-jewels[[#This Row],[Cost Per Unit]]</f>
        <v>5202342</v>
      </c>
      <c r="R441" s="13">
        <f>jewels[[#This Row],[Profit]]/jewels[[#This Row],[Cost Per Unit]]</f>
        <v>0.4</v>
      </c>
    </row>
    <row r="442" spans="1:18" x14ac:dyDescent="0.25">
      <c r="A442" s="3">
        <v>441</v>
      </c>
      <c r="B442" s="4">
        <v>45268</v>
      </c>
      <c r="C442" s="3">
        <v>2023</v>
      </c>
      <c r="D442" s="3">
        <v>12</v>
      </c>
      <c r="E442" s="5" t="s">
        <v>37</v>
      </c>
      <c r="F442" s="3">
        <v>220</v>
      </c>
      <c r="G442" s="5" t="s">
        <v>36</v>
      </c>
      <c r="H442" s="5" t="s">
        <v>16</v>
      </c>
      <c r="I442" s="5" t="s">
        <v>39</v>
      </c>
      <c r="J442" s="5" t="s">
        <v>18</v>
      </c>
      <c r="K442" s="3">
        <v>60</v>
      </c>
      <c r="L442" s="11">
        <f>jewels[[#This Row],[Unit Price]]/(1+40%)</f>
        <v>1813577.142857143</v>
      </c>
      <c r="M442" s="11">
        <v>2539008</v>
      </c>
      <c r="N442" s="3">
        <v>6</v>
      </c>
      <c r="O442" s="11">
        <f>jewels[[#This Row],[Cost ]]*jewels[[#This Row],[Sales_Qty]]</f>
        <v>10881462.857142858</v>
      </c>
      <c r="P442" s="11">
        <v>15234048</v>
      </c>
      <c r="Q442" s="11">
        <f>jewels[[#This Row],[Total Sales Value]]-jewels[[#This Row],[Cost Per Unit]]</f>
        <v>4352585.1428571418</v>
      </c>
      <c r="R442" s="13">
        <f>jewels[[#This Row],[Profit]]/jewels[[#This Row],[Cost Per Unit]]</f>
        <v>0.39999999999999986</v>
      </c>
    </row>
    <row r="443" spans="1:18" x14ac:dyDescent="0.25">
      <c r="A443" s="3">
        <v>442</v>
      </c>
      <c r="B443" s="4">
        <v>43930</v>
      </c>
      <c r="C443" s="3">
        <v>2020</v>
      </c>
      <c r="D443" s="3">
        <v>4</v>
      </c>
      <c r="E443" s="5" t="s">
        <v>24</v>
      </c>
      <c r="F443" s="3">
        <v>299</v>
      </c>
      <c r="G443" s="5" t="s">
        <v>60</v>
      </c>
      <c r="H443" s="5" t="s">
        <v>16</v>
      </c>
      <c r="I443" s="5" t="s">
        <v>29</v>
      </c>
      <c r="J443" s="5" t="s">
        <v>30</v>
      </c>
      <c r="K443" s="3">
        <v>56</v>
      </c>
      <c r="L443" s="11">
        <f>jewels[[#This Row],[Unit Price]]/(1+40%)</f>
        <v>5907847.8571428573</v>
      </c>
      <c r="M443" s="11">
        <v>8270987</v>
      </c>
      <c r="N443" s="3">
        <v>8</v>
      </c>
      <c r="O443" s="11">
        <f>jewels[[#This Row],[Cost ]]*jewels[[#This Row],[Sales_Qty]]</f>
        <v>47262782.857142858</v>
      </c>
      <c r="P443" s="11">
        <v>66167896</v>
      </c>
      <c r="Q443" s="11">
        <f>jewels[[#This Row],[Total Sales Value]]-jewels[[#This Row],[Cost Per Unit]]</f>
        <v>18905113.142857142</v>
      </c>
      <c r="R443" s="13">
        <f>jewels[[#This Row],[Profit]]/jewels[[#This Row],[Cost Per Unit]]</f>
        <v>0.39999999999999997</v>
      </c>
    </row>
    <row r="444" spans="1:18" x14ac:dyDescent="0.25">
      <c r="A444" s="3">
        <v>443</v>
      </c>
      <c r="B444" s="4">
        <v>44116</v>
      </c>
      <c r="C444" s="3">
        <v>2020</v>
      </c>
      <c r="D444" s="3">
        <v>10</v>
      </c>
      <c r="E444" s="5" t="s">
        <v>61</v>
      </c>
      <c r="F444" s="3">
        <v>464</v>
      </c>
      <c r="G444" s="5" t="s">
        <v>63</v>
      </c>
      <c r="H444" s="5" t="s">
        <v>21</v>
      </c>
      <c r="I444" s="5" t="s">
        <v>40</v>
      </c>
      <c r="J444" s="5" t="s">
        <v>28</v>
      </c>
      <c r="K444" s="3">
        <v>56</v>
      </c>
      <c r="L444" s="11">
        <f>jewels[[#This Row],[Unit Price]]/(1+40%)</f>
        <v>2845832.1428571432</v>
      </c>
      <c r="M444" s="11">
        <v>3984165</v>
      </c>
      <c r="N444" s="3">
        <v>7</v>
      </c>
      <c r="O444" s="11">
        <f>jewels[[#This Row],[Cost ]]*jewels[[#This Row],[Sales_Qty]]</f>
        <v>19920825.000000004</v>
      </c>
      <c r="P444" s="11">
        <v>27889155</v>
      </c>
      <c r="Q444" s="11">
        <f>jewels[[#This Row],[Total Sales Value]]-jewels[[#This Row],[Cost Per Unit]]</f>
        <v>7968329.9999999963</v>
      </c>
      <c r="R444" s="13">
        <f>jewels[[#This Row],[Profit]]/jewels[[#This Row],[Cost Per Unit]]</f>
        <v>0.39999999999999974</v>
      </c>
    </row>
    <row r="445" spans="1:18" x14ac:dyDescent="0.25">
      <c r="A445" s="3">
        <v>444</v>
      </c>
      <c r="B445" s="4">
        <v>45299</v>
      </c>
      <c r="C445" s="3">
        <v>2024</v>
      </c>
      <c r="D445" s="3">
        <v>1</v>
      </c>
      <c r="E445" s="5" t="s">
        <v>41</v>
      </c>
      <c r="F445" s="3">
        <v>498</v>
      </c>
      <c r="G445" s="5" t="s">
        <v>64</v>
      </c>
      <c r="H445" s="5" t="s">
        <v>26</v>
      </c>
      <c r="I445" s="5" t="s">
        <v>22</v>
      </c>
      <c r="J445" s="5" t="s">
        <v>45</v>
      </c>
      <c r="K445" s="3">
        <v>66</v>
      </c>
      <c r="L445" s="11">
        <f>jewels[[#This Row],[Unit Price]]/(1+40%)</f>
        <v>4720047.8571428573</v>
      </c>
      <c r="M445" s="11">
        <v>6608067</v>
      </c>
      <c r="N445" s="3">
        <v>3</v>
      </c>
      <c r="O445" s="11">
        <f>jewels[[#This Row],[Cost ]]*jewels[[#This Row],[Sales_Qty]]</f>
        <v>14160143.571428571</v>
      </c>
      <c r="P445" s="11">
        <v>19824201</v>
      </c>
      <c r="Q445" s="11">
        <f>jewels[[#This Row],[Total Sales Value]]-jewels[[#This Row],[Cost Per Unit]]</f>
        <v>5664057.4285714291</v>
      </c>
      <c r="R445" s="13">
        <f>jewels[[#This Row],[Profit]]/jewels[[#This Row],[Cost Per Unit]]</f>
        <v>0.40000000000000008</v>
      </c>
    </row>
    <row r="446" spans="1:18" x14ac:dyDescent="0.25">
      <c r="A446" s="3">
        <v>445</v>
      </c>
      <c r="B446" s="4">
        <v>44902</v>
      </c>
      <c r="C446" s="3">
        <v>2022</v>
      </c>
      <c r="D446" s="3">
        <v>12</v>
      </c>
      <c r="E446" s="5" t="s">
        <v>37</v>
      </c>
      <c r="F446" s="3">
        <v>37</v>
      </c>
      <c r="G446" s="5" t="s">
        <v>31</v>
      </c>
      <c r="H446" s="5" t="s">
        <v>26</v>
      </c>
      <c r="I446" s="5" t="s">
        <v>29</v>
      </c>
      <c r="J446" s="5" t="s">
        <v>45</v>
      </c>
      <c r="K446" s="3">
        <v>84</v>
      </c>
      <c r="L446" s="11">
        <f>jewels[[#This Row],[Unit Price]]/(1+40%)</f>
        <v>1564824.2857142859</v>
      </c>
      <c r="M446" s="11">
        <v>2190754</v>
      </c>
      <c r="N446" s="3">
        <v>10</v>
      </c>
      <c r="O446" s="11">
        <f>jewels[[#This Row],[Cost ]]*jewels[[#This Row],[Sales_Qty]]</f>
        <v>15648242.857142858</v>
      </c>
      <c r="P446" s="11">
        <v>21907540</v>
      </c>
      <c r="Q446" s="11">
        <f>jewels[[#This Row],[Total Sales Value]]-jewels[[#This Row],[Cost Per Unit]]</f>
        <v>6259297.1428571418</v>
      </c>
      <c r="R446" s="13">
        <f>jewels[[#This Row],[Profit]]/jewels[[#This Row],[Cost Per Unit]]</f>
        <v>0.39999999999999991</v>
      </c>
    </row>
    <row r="447" spans="1:18" x14ac:dyDescent="0.25">
      <c r="A447" s="3">
        <v>446</v>
      </c>
      <c r="B447" s="4">
        <v>44575</v>
      </c>
      <c r="C447" s="3">
        <v>2022</v>
      </c>
      <c r="D447" s="3">
        <v>1</v>
      </c>
      <c r="E447" s="5" t="s">
        <v>41</v>
      </c>
      <c r="F447" s="3">
        <v>273</v>
      </c>
      <c r="G447" s="5" t="s">
        <v>15</v>
      </c>
      <c r="H447" s="5" t="s">
        <v>16</v>
      </c>
      <c r="I447" s="5" t="s">
        <v>39</v>
      </c>
      <c r="J447" s="5" t="s">
        <v>23</v>
      </c>
      <c r="K447" s="3">
        <v>68</v>
      </c>
      <c r="L447" s="11">
        <f>jewels[[#This Row],[Unit Price]]/(1+40%)</f>
        <v>1144006.4285714286</v>
      </c>
      <c r="M447" s="11">
        <v>1601609</v>
      </c>
      <c r="N447" s="3">
        <v>7</v>
      </c>
      <c r="O447" s="11">
        <f>jewels[[#This Row],[Cost ]]*jewels[[#This Row],[Sales_Qty]]</f>
        <v>8008045</v>
      </c>
      <c r="P447" s="11">
        <v>11211263</v>
      </c>
      <c r="Q447" s="11">
        <f>jewels[[#This Row],[Total Sales Value]]-jewels[[#This Row],[Cost Per Unit]]</f>
        <v>3203218</v>
      </c>
      <c r="R447" s="13">
        <f>jewels[[#This Row],[Profit]]/jewels[[#This Row],[Cost Per Unit]]</f>
        <v>0.4</v>
      </c>
    </row>
    <row r="448" spans="1:18" x14ac:dyDescent="0.25">
      <c r="A448" s="3">
        <v>447</v>
      </c>
      <c r="B448" s="4">
        <v>43963</v>
      </c>
      <c r="C448" s="3">
        <v>2020</v>
      </c>
      <c r="D448" s="3">
        <v>5</v>
      </c>
      <c r="E448" s="5" t="s">
        <v>53</v>
      </c>
      <c r="F448" s="3">
        <v>108</v>
      </c>
      <c r="G448" s="5" t="s">
        <v>62</v>
      </c>
      <c r="H448" s="5" t="s">
        <v>56</v>
      </c>
      <c r="I448" s="5" t="s">
        <v>27</v>
      </c>
      <c r="J448" s="5" t="s">
        <v>23</v>
      </c>
      <c r="K448" s="3">
        <v>91</v>
      </c>
      <c r="L448" s="11">
        <f>jewels[[#This Row],[Unit Price]]/(1+40%)</f>
        <v>2816360</v>
      </c>
      <c r="M448" s="11">
        <v>3942904</v>
      </c>
      <c r="N448" s="3">
        <v>2</v>
      </c>
      <c r="O448" s="11">
        <f>jewels[[#This Row],[Cost ]]*jewels[[#This Row],[Sales_Qty]]</f>
        <v>5632720</v>
      </c>
      <c r="P448" s="11">
        <v>7885808</v>
      </c>
      <c r="Q448" s="11">
        <f>jewels[[#This Row],[Total Sales Value]]-jewels[[#This Row],[Cost Per Unit]]</f>
        <v>2253088</v>
      </c>
      <c r="R448" s="13">
        <f>jewels[[#This Row],[Profit]]/jewels[[#This Row],[Cost Per Unit]]</f>
        <v>0.4</v>
      </c>
    </row>
    <row r="449" spans="1:18" x14ac:dyDescent="0.25">
      <c r="A449" s="3">
        <v>448</v>
      </c>
      <c r="B449" s="4">
        <v>44969</v>
      </c>
      <c r="C449" s="3">
        <v>2023</v>
      </c>
      <c r="D449" s="3">
        <v>2</v>
      </c>
      <c r="E449" s="5" t="s">
        <v>19</v>
      </c>
      <c r="F449" s="3">
        <v>95</v>
      </c>
      <c r="G449" s="5" t="s">
        <v>25</v>
      </c>
      <c r="H449" s="5" t="s">
        <v>26</v>
      </c>
      <c r="I449" s="5" t="s">
        <v>27</v>
      </c>
      <c r="J449" s="5" t="s">
        <v>32</v>
      </c>
      <c r="K449" s="3">
        <v>76</v>
      </c>
      <c r="L449" s="11">
        <f>jewels[[#This Row],[Unit Price]]/(1+40%)</f>
        <v>6469852.8571428573</v>
      </c>
      <c r="M449" s="11">
        <v>9057794</v>
      </c>
      <c r="N449" s="3">
        <v>5</v>
      </c>
      <c r="O449" s="11">
        <f>jewels[[#This Row],[Cost ]]*jewels[[#This Row],[Sales_Qty]]</f>
        <v>32349264.285714287</v>
      </c>
      <c r="P449" s="11">
        <v>45288970</v>
      </c>
      <c r="Q449" s="11">
        <f>jewels[[#This Row],[Total Sales Value]]-jewels[[#This Row],[Cost Per Unit]]</f>
        <v>12939705.714285713</v>
      </c>
      <c r="R449" s="13">
        <f>jewels[[#This Row],[Profit]]/jewels[[#This Row],[Cost Per Unit]]</f>
        <v>0.39999999999999991</v>
      </c>
    </row>
    <row r="450" spans="1:18" x14ac:dyDescent="0.25">
      <c r="A450" s="3">
        <v>449</v>
      </c>
      <c r="B450" s="4">
        <v>44933</v>
      </c>
      <c r="C450" s="3">
        <v>2023</v>
      </c>
      <c r="D450" s="3">
        <v>1</v>
      </c>
      <c r="E450" s="5" t="s">
        <v>41</v>
      </c>
      <c r="F450" s="3">
        <v>129</v>
      </c>
      <c r="G450" s="5" t="s">
        <v>20</v>
      </c>
      <c r="H450" s="5" t="s">
        <v>21</v>
      </c>
      <c r="I450" s="5" t="s">
        <v>39</v>
      </c>
      <c r="J450" s="5" t="s">
        <v>23</v>
      </c>
      <c r="K450" s="3">
        <v>85</v>
      </c>
      <c r="L450" s="11">
        <f>jewels[[#This Row],[Unit Price]]/(1+40%)</f>
        <v>1413786.4285714286</v>
      </c>
      <c r="M450" s="11">
        <v>1979301</v>
      </c>
      <c r="N450" s="3">
        <v>2</v>
      </c>
      <c r="O450" s="11">
        <f>jewels[[#This Row],[Cost ]]*jewels[[#This Row],[Sales_Qty]]</f>
        <v>2827572.8571428573</v>
      </c>
      <c r="P450" s="11">
        <v>3958602</v>
      </c>
      <c r="Q450" s="11">
        <f>jewels[[#This Row],[Total Sales Value]]-jewels[[#This Row],[Cost Per Unit]]</f>
        <v>1131029.1428571427</v>
      </c>
      <c r="R450" s="13">
        <f>jewels[[#This Row],[Profit]]/jewels[[#This Row],[Cost Per Unit]]</f>
        <v>0.39999999999999991</v>
      </c>
    </row>
    <row r="451" spans="1:18" x14ac:dyDescent="0.25">
      <c r="A451" s="3">
        <v>450</v>
      </c>
      <c r="B451" s="4">
        <v>44128</v>
      </c>
      <c r="C451" s="3">
        <v>2020</v>
      </c>
      <c r="D451" s="3">
        <v>10</v>
      </c>
      <c r="E451" s="5" t="s">
        <v>61</v>
      </c>
      <c r="F451" s="3">
        <v>332</v>
      </c>
      <c r="G451" s="5" t="s">
        <v>25</v>
      </c>
      <c r="H451" s="5" t="s">
        <v>26</v>
      </c>
      <c r="I451" s="5" t="s">
        <v>29</v>
      </c>
      <c r="J451" s="5" t="s">
        <v>44</v>
      </c>
      <c r="K451" s="3">
        <v>64</v>
      </c>
      <c r="L451" s="11">
        <f>jewels[[#This Row],[Unit Price]]/(1+40%)</f>
        <v>6594076.4285714291</v>
      </c>
      <c r="M451" s="11">
        <v>9231707</v>
      </c>
      <c r="N451" s="3">
        <v>8</v>
      </c>
      <c r="O451" s="11">
        <f>jewels[[#This Row],[Cost ]]*jewels[[#This Row],[Sales_Qty]]</f>
        <v>52752611.428571433</v>
      </c>
      <c r="P451" s="11">
        <v>73853656</v>
      </c>
      <c r="Q451" s="11">
        <f>jewels[[#This Row],[Total Sales Value]]-jewels[[#This Row],[Cost Per Unit]]</f>
        <v>21101044.571428567</v>
      </c>
      <c r="R451" s="13">
        <f>jewels[[#This Row],[Profit]]/jewels[[#This Row],[Cost Per Unit]]</f>
        <v>0.39999999999999991</v>
      </c>
    </row>
    <row r="452" spans="1:18" x14ac:dyDescent="0.25">
      <c r="A452" s="3">
        <v>451</v>
      </c>
      <c r="B452" s="4">
        <v>45046</v>
      </c>
      <c r="C452" s="3">
        <v>2023</v>
      </c>
      <c r="D452" s="3">
        <v>4</v>
      </c>
      <c r="E452" s="5" t="s">
        <v>24</v>
      </c>
      <c r="F452" s="3">
        <v>463</v>
      </c>
      <c r="G452" s="5" t="s">
        <v>31</v>
      </c>
      <c r="H452" s="5" t="s">
        <v>26</v>
      </c>
      <c r="I452" s="5" t="s">
        <v>27</v>
      </c>
      <c r="J452" s="5" t="s">
        <v>32</v>
      </c>
      <c r="K452" s="3">
        <v>82</v>
      </c>
      <c r="L452" s="11">
        <f>jewels[[#This Row],[Unit Price]]/(1+40%)</f>
        <v>342124.28571428574</v>
      </c>
      <c r="M452" s="11">
        <v>478974</v>
      </c>
      <c r="N452" s="3">
        <v>9</v>
      </c>
      <c r="O452" s="11">
        <f>jewels[[#This Row],[Cost ]]*jewels[[#This Row],[Sales_Qty]]</f>
        <v>3079118.5714285718</v>
      </c>
      <c r="P452" s="11">
        <v>4310766</v>
      </c>
      <c r="Q452" s="11">
        <f>jewels[[#This Row],[Total Sales Value]]-jewels[[#This Row],[Cost Per Unit]]</f>
        <v>1231647.4285714282</v>
      </c>
      <c r="R452" s="13">
        <f>jewels[[#This Row],[Profit]]/jewels[[#This Row],[Cost Per Unit]]</f>
        <v>0.3999999999999998</v>
      </c>
    </row>
    <row r="453" spans="1:18" x14ac:dyDescent="0.25">
      <c r="A453" s="3">
        <v>452</v>
      </c>
      <c r="B453" s="4">
        <v>44263</v>
      </c>
      <c r="C453" s="3">
        <v>2021</v>
      </c>
      <c r="D453" s="3">
        <v>3</v>
      </c>
      <c r="E453" s="5" t="s">
        <v>43</v>
      </c>
      <c r="F453" s="3">
        <v>81</v>
      </c>
      <c r="G453" s="5" t="s">
        <v>34</v>
      </c>
      <c r="H453" s="5" t="s">
        <v>35</v>
      </c>
      <c r="I453" s="5" t="s">
        <v>27</v>
      </c>
      <c r="J453" s="5" t="s">
        <v>47</v>
      </c>
      <c r="K453" s="3">
        <v>56</v>
      </c>
      <c r="L453" s="11">
        <f>jewels[[#This Row],[Unit Price]]/(1+40%)</f>
        <v>4526457.8571428573</v>
      </c>
      <c r="M453" s="11">
        <v>6337041</v>
      </c>
      <c r="N453" s="3">
        <v>10</v>
      </c>
      <c r="O453" s="11">
        <f>jewels[[#This Row],[Cost ]]*jewels[[#This Row],[Sales_Qty]]</f>
        <v>45264578.571428575</v>
      </c>
      <c r="P453" s="11">
        <v>63370410</v>
      </c>
      <c r="Q453" s="11">
        <f>jewels[[#This Row],[Total Sales Value]]-jewels[[#This Row],[Cost Per Unit]]</f>
        <v>18105831.428571425</v>
      </c>
      <c r="R453" s="13">
        <f>jewels[[#This Row],[Profit]]/jewels[[#This Row],[Cost Per Unit]]</f>
        <v>0.39999999999999991</v>
      </c>
    </row>
    <row r="454" spans="1:18" x14ac:dyDescent="0.25">
      <c r="A454" s="3">
        <v>453</v>
      </c>
      <c r="B454" s="4">
        <v>44164</v>
      </c>
      <c r="C454" s="3">
        <v>2020</v>
      </c>
      <c r="D454" s="3">
        <v>11</v>
      </c>
      <c r="E454" s="5" t="s">
        <v>58</v>
      </c>
      <c r="F454" s="3">
        <v>211</v>
      </c>
      <c r="G454" s="5" t="s">
        <v>20</v>
      </c>
      <c r="H454" s="5" t="s">
        <v>21</v>
      </c>
      <c r="I454" s="5" t="s">
        <v>29</v>
      </c>
      <c r="J454" s="5" t="s">
        <v>44</v>
      </c>
      <c r="K454" s="3">
        <v>81</v>
      </c>
      <c r="L454" s="11">
        <f>jewels[[#This Row],[Unit Price]]/(1+40%)</f>
        <v>1693439.2857142859</v>
      </c>
      <c r="M454" s="11">
        <v>2370815</v>
      </c>
      <c r="N454" s="3">
        <v>6</v>
      </c>
      <c r="O454" s="11">
        <f>jewels[[#This Row],[Cost ]]*jewels[[#This Row],[Sales_Qty]]</f>
        <v>10160635.714285716</v>
      </c>
      <c r="P454" s="11">
        <v>14224890</v>
      </c>
      <c r="Q454" s="11">
        <f>jewels[[#This Row],[Total Sales Value]]-jewels[[#This Row],[Cost Per Unit]]</f>
        <v>4064254.2857142836</v>
      </c>
      <c r="R454" s="13">
        <f>jewels[[#This Row],[Profit]]/jewels[[#This Row],[Cost Per Unit]]</f>
        <v>0.39999999999999969</v>
      </c>
    </row>
    <row r="455" spans="1:18" x14ac:dyDescent="0.25">
      <c r="A455" s="3">
        <v>454</v>
      </c>
      <c r="B455" s="4">
        <v>45358</v>
      </c>
      <c r="C455" s="3">
        <v>2024</v>
      </c>
      <c r="D455" s="3">
        <v>3</v>
      </c>
      <c r="E455" s="5" t="s">
        <v>43</v>
      </c>
      <c r="F455" s="3">
        <v>329</v>
      </c>
      <c r="G455" s="5" t="s">
        <v>60</v>
      </c>
      <c r="H455" s="5" t="s">
        <v>16</v>
      </c>
      <c r="I455" s="5" t="s">
        <v>17</v>
      </c>
      <c r="J455" s="5" t="s">
        <v>45</v>
      </c>
      <c r="K455" s="3">
        <v>69</v>
      </c>
      <c r="L455" s="11">
        <f>jewels[[#This Row],[Unit Price]]/(1+40%)</f>
        <v>4883105.7142857146</v>
      </c>
      <c r="M455" s="11">
        <v>6836348</v>
      </c>
      <c r="N455" s="3">
        <v>6</v>
      </c>
      <c r="O455" s="11">
        <f>jewels[[#This Row],[Cost ]]*jewels[[#This Row],[Sales_Qty]]</f>
        <v>29298634.285714287</v>
      </c>
      <c r="P455" s="11">
        <v>41018088</v>
      </c>
      <c r="Q455" s="11">
        <f>jewels[[#This Row],[Total Sales Value]]-jewels[[#This Row],[Cost Per Unit]]</f>
        <v>11719453.714285713</v>
      </c>
      <c r="R455" s="13">
        <f>jewels[[#This Row],[Profit]]/jewels[[#This Row],[Cost Per Unit]]</f>
        <v>0.39999999999999991</v>
      </c>
    </row>
    <row r="456" spans="1:18" x14ac:dyDescent="0.25">
      <c r="A456" s="3">
        <v>455</v>
      </c>
      <c r="B456" s="4">
        <v>45173</v>
      </c>
      <c r="C456" s="3">
        <v>2023</v>
      </c>
      <c r="D456" s="3">
        <v>9</v>
      </c>
      <c r="E456" s="5" t="s">
        <v>33</v>
      </c>
      <c r="F456" s="3">
        <v>117</v>
      </c>
      <c r="G456" s="5" t="s">
        <v>63</v>
      </c>
      <c r="H456" s="5" t="s">
        <v>21</v>
      </c>
      <c r="I456" s="5" t="s">
        <v>29</v>
      </c>
      <c r="J456" s="5" t="s">
        <v>23</v>
      </c>
      <c r="K456" s="3">
        <v>86</v>
      </c>
      <c r="L456" s="11">
        <f>jewels[[#This Row],[Unit Price]]/(1+40%)</f>
        <v>3684412.8571428573</v>
      </c>
      <c r="M456" s="11">
        <v>5158178</v>
      </c>
      <c r="N456" s="3">
        <v>9</v>
      </c>
      <c r="O456" s="11">
        <f>jewels[[#This Row],[Cost ]]*jewels[[#This Row],[Sales_Qty]]</f>
        <v>33159715.714285716</v>
      </c>
      <c r="P456" s="11">
        <v>46423602</v>
      </c>
      <c r="Q456" s="11">
        <f>jewels[[#This Row],[Total Sales Value]]-jewels[[#This Row],[Cost Per Unit]]</f>
        <v>13263886.285714284</v>
      </c>
      <c r="R456" s="13">
        <f>jewels[[#This Row],[Profit]]/jewels[[#This Row],[Cost Per Unit]]</f>
        <v>0.39999999999999991</v>
      </c>
    </row>
    <row r="457" spans="1:18" x14ac:dyDescent="0.25">
      <c r="A457" s="3">
        <v>456</v>
      </c>
      <c r="B457" s="4">
        <v>44461</v>
      </c>
      <c r="C457" s="3">
        <v>2021</v>
      </c>
      <c r="D457" s="3">
        <v>9</v>
      </c>
      <c r="E457" s="5" t="s">
        <v>33</v>
      </c>
      <c r="F457" s="3">
        <v>386</v>
      </c>
      <c r="G457" s="5" t="s">
        <v>64</v>
      </c>
      <c r="H457" s="5" t="s">
        <v>26</v>
      </c>
      <c r="I457" s="5" t="s">
        <v>39</v>
      </c>
      <c r="J457" s="5" t="s">
        <v>47</v>
      </c>
      <c r="K457" s="3">
        <v>84</v>
      </c>
      <c r="L457" s="11">
        <f>jewels[[#This Row],[Unit Price]]/(1+40%)</f>
        <v>4667972.1428571427</v>
      </c>
      <c r="M457" s="11">
        <v>6535161</v>
      </c>
      <c r="N457" s="3">
        <v>4</v>
      </c>
      <c r="O457" s="11">
        <f>jewels[[#This Row],[Cost ]]*jewels[[#This Row],[Sales_Qty]]</f>
        <v>18671888.571428571</v>
      </c>
      <c r="P457" s="11">
        <v>26140644</v>
      </c>
      <c r="Q457" s="11">
        <f>jewels[[#This Row],[Total Sales Value]]-jewels[[#This Row],[Cost Per Unit]]</f>
        <v>7468755.4285714291</v>
      </c>
      <c r="R457" s="13">
        <f>jewels[[#This Row],[Profit]]/jewels[[#This Row],[Cost Per Unit]]</f>
        <v>0.4</v>
      </c>
    </row>
    <row r="458" spans="1:18" x14ac:dyDescent="0.25">
      <c r="A458" s="3">
        <v>457</v>
      </c>
      <c r="B458" s="4">
        <v>44246</v>
      </c>
      <c r="C458" s="3">
        <v>2021</v>
      </c>
      <c r="D458" s="3">
        <v>2</v>
      </c>
      <c r="E458" s="5" t="s">
        <v>19</v>
      </c>
      <c r="F458" s="3">
        <v>394</v>
      </c>
      <c r="G458" s="5" t="s">
        <v>64</v>
      </c>
      <c r="H458" s="5" t="s">
        <v>26</v>
      </c>
      <c r="I458" s="5" t="s">
        <v>17</v>
      </c>
      <c r="J458" s="5" t="s">
        <v>50</v>
      </c>
      <c r="K458" s="3">
        <v>70</v>
      </c>
      <c r="L458" s="11">
        <f>jewels[[#This Row],[Unit Price]]/(1+40%)</f>
        <v>3883620.7142857146</v>
      </c>
      <c r="M458" s="11">
        <v>5437069</v>
      </c>
      <c r="N458" s="3">
        <v>3</v>
      </c>
      <c r="O458" s="11">
        <f>jewels[[#This Row],[Cost ]]*jewels[[#This Row],[Sales_Qty]]</f>
        <v>11650862.142857144</v>
      </c>
      <c r="P458" s="11">
        <v>16311207</v>
      </c>
      <c r="Q458" s="11">
        <f>jewels[[#This Row],[Total Sales Value]]-jewels[[#This Row],[Cost Per Unit]]</f>
        <v>4660344.8571428563</v>
      </c>
      <c r="R458" s="13">
        <f>jewels[[#This Row],[Profit]]/jewels[[#This Row],[Cost Per Unit]]</f>
        <v>0.39999999999999991</v>
      </c>
    </row>
    <row r="459" spans="1:18" x14ac:dyDescent="0.25">
      <c r="A459" s="3">
        <v>458</v>
      </c>
      <c r="B459" s="4">
        <v>44148</v>
      </c>
      <c r="C459" s="3">
        <v>2020</v>
      </c>
      <c r="D459" s="3">
        <v>11</v>
      </c>
      <c r="E459" s="5" t="s">
        <v>58</v>
      </c>
      <c r="F459" s="3">
        <v>10</v>
      </c>
      <c r="G459" s="5" t="s">
        <v>64</v>
      </c>
      <c r="H459" s="5" t="s">
        <v>26</v>
      </c>
      <c r="I459" s="5" t="s">
        <v>29</v>
      </c>
      <c r="J459" s="5" t="s">
        <v>47</v>
      </c>
      <c r="K459" s="3">
        <v>82</v>
      </c>
      <c r="L459" s="11">
        <f>jewels[[#This Row],[Unit Price]]/(1+40%)</f>
        <v>3629010</v>
      </c>
      <c r="M459" s="11">
        <v>5080614</v>
      </c>
      <c r="N459" s="3">
        <v>3</v>
      </c>
      <c r="O459" s="11">
        <f>jewels[[#This Row],[Cost ]]*jewels[[#This Row],[Sales_Qty]]</f>
        <v>10887030</v>
      </c>
      <c r="P459" s="11">
        <v>15241842</v>
      </c>
      <c r="Q459" s="11">
        <f>jewels[[#This Row],[Total Sales Value]]-jewels[[#This Row],[Cost Per Unit]]</f>
        <v>4354812</v>
      </c>
      <c r="R459" s="13">
        <f>jewels[[#This Row],[Profit]]/jewels[[#This Row],[Cost Per Unit]]</f>
        <v>0.4</v>
      </c>
    </row>
    <row r="460" spans="1:18" x14ac:dyDescent="0.25">
      <c r="A460" s="3">
        <v>459</v>
      </c>
      <c r="B460" s="4">
        <v>44161</v>
      </c>
      <c r="C460" s="3">
        <v>2020</v>
      </c>
      <c r="D460" s="3">
        <v>11</v>
      </c>
      <c r="E460" s="5" t="s">
        <v>58</v>
      </c>
      <c r="F460" s="3">
        <v>249</v>
      </c>
      <c r="G460" s="5" t="s">
        <v>46</v>
      </c>
      <c r="H460" s="5" t="s">
        <v>35</v>
      </c>
      <c r="I460" s="5" t="s">
        <v>17</v>
      </c>
      <c r="J460" s="5" t="s">
        <v>44</v>
      </c>
      <c r="K460" s="3">
        <v>68</v>
      </c>
      <c r="L460" s="11">
        <f>jewels[[#This Row],[Unit Price]]/(1+40%)</f>
        <v>2100224.2857142859</v>
      </c>
      <c r="M460" s="11">
        <v>2940314</v>
      </c>
      <c r="N460" s="3">
        <v>10</v>
      </c>
      <c r="O460" s="11">
        <f>jewels[[#This Row],[Cost ]]*jewels[[#This Row],[Sales_Qty]]</f>
        <v>21002242.857142858</v>
      </c>
      <c r="P460" s="11">
        <v>29403140</v>
      </c>
      <c r="Q460" s="11">
        <f>jewels[[#This Row],[Total Sales Value]]-jewels[[#This Row],[Cost Per Unit]]</f>
        <v>8400897.1428571418</v>
      </c>
      <c r="R460" s="13">
        <f>jewels[[#This Row],[Profit]]/jewels[[#This Row],[Cost Per Unit]]</f>
        <v>0.39999999999999991</v>
      </c>
    </row>
    <row r="461" spans="1:18" x14ac:dyDescent="0.25">
      <c r="A461" s="3">
        <v>460</v>
      </c>
      <c r="B461" s="4">
        <v>44787</v>
      </c>
      <c r="C461" s="3">
        <v>2022</v>
      </c>
      <c r="D461" s="3">
        <v>8</v>
      </c>
      <c r="E461" s="5" t="s">
        <v>51</v>
      </c>
      <c r="F461" s="3">
        <v>345</v>
      </c>
      <c r="G461" s="5" t="s">
        <v>15</v>
      </c>
      <c r="H461" s="5" t="s">
        <v>16</v>
      </c>
      <c r="I461" s="5" t="s">
        <v>39</v>
      </c>
      <c r="J461" s="5" t="s">
        <v>47</v>
      </c>
      <c r="K461" s="3">
        <v>83</v>
      </c>
      <c r="L461" s="11">
        <f>jewels[[#This Row],[Unit Price]]/(1+40%)</f>
        <v>2203252.8571428573</v>
      </c>
      <c r="M461" s="11">
        <v>3084554</v>
      </c>
      <c r="N461" s="3">
        <v>4</v>
      </c>
      <c r="O461" s="11">
        <f>jewels[[#This Row],[Cost ]]*jewels[[#This Row],[Sales_Qty]]</f>
        <v>8813011.4285714291</v>
      </c>
      <c r="P461" s="11">
        <v>12338216</v>
      </c>
      <c r="Q461" s="11">
        <f>jewels[[#This Row],[Total Sales Value]]-jewels[[#This Row],[Cost Per Unit]]</f>
        <v>3525204.5714285709</v>
      </c>
      <c r="R461" s="13">
        <f>jewels[[#This Row],[Profit]]/jewels[[#This Row],[Cost Per Unit]]</f>
        <v>0.39999999999999991</v>
      </c>
    </row>
    <row r="462" spans="1:18" x14ac:dyDescent="0.25">
      <c r="A462" s="3">
        <v>461</v>
      </c>
      <c r="B462" s="4">
        <v>44850</v>
      </c>
      <c r="C462" s="3">
        <v>2022</v>
      </c>
      <c r="D462" s="3">
        <v>10</v>
      </c>
      <c r="E462" s="5" t="s">
        <v>61</v>
      </c>
      <c r="F462" s="3">
        <v>147</v>
      </c>
      <c r="G462" s="5" t="s">
        <v>20</v>
      </c>
      <c r="H462" s="5" t="s">
        <v>21</v>
      </c>
      <c r="I462" s="5" t="s">
        <v>29</v>
      </c>
      <c r="J462" s="5" t="s">
        <v>28</v>
      </c>
      <c r="K462" s="3">
        <v>79</v>
      </c>
      <c r="L462" s="11">
        <f>jewels[[#This Row],[Unit Price]]/(1+40%)</f>
        <v>6089719.2857142864</v>
      </c>
      <c r="M462" s="11">
        <v>8525607</v>
      </c>
      <c r="N462" s="3">
        <v>10</v>
      </c>
      <c r="O462" s="11">
        <f>jewels[[#This Row],[Cost ]]*jewels[[#This Row],[Sales_Qty]]</f>
        <v>60897192.857142866</v>
      </c>
      <c r="P462" s="11">
        <v>85256070</v>
      </c>
      <c r="Q462" s="11">
        <f>jewels[[#This Row],[Total Sales Value]]-jewels[[#This Row],[Cost Per Unit]]</f>
        <v>24358877.142857134</v>
      </c>
      <c r="R462" s="13">
        <f>jewels[[#This Row],[Profit]]/jewels[[#This Row],[Cost Per Unit]]</f>
        <v>0.3999999999999998</v>
      </c>
    </row>
    <row r="463" spans="1:18" x14ac:dyDescent="0.25">
      <c r="A463" s="3">
        <v>462</v>
      </c>
      <c r="B463" s="4">
        <v>44399</v>
      </c>
      <c r="C463" s="3">
        <v>2021</v>
      </c>
      <c r="D463" s="3">
        <v>7</v>
      </c>
      <c r="E463" s="5" t="s">
        <v>49</v>
      </c>
      <c r="F463" s="3">
        <v>458</v>
      </c>
      <c r="G463" s="5" t="s">
        <v>38</v>
      </c>
      <c r="H463" s="5" t="s">
        <v>35</v>
      </c>
      <c r="I463" s="5" t="s">
        <v>17</v>
      </c>
      <c r="J463" s="5" t="s">
        <v>44</v>
      </c>
      <c r="K463" s="3">
        <v>95</v>
      </c>
      <c r="L463" s="11">
        <f>jewels[[#This Row],[Unit Price]]/(1+40%)</f>
        <v>6488012.1428571437</v>
      </c>
      <c r="M463" s="11">
        <v>9083217</v>
      </c>
      <c r="N463" s="3">
        <v>10</v>
      </c>
      <c r="O463" s="11">
        <f>jewels[[#This Row],[Cost ]]*jewels[[#This Row],[Sales_Qty]]</f>
        <v>64880121.428571433</v>
      </c>
      <c r="P463" s="11">
        <v>90832170</v>
      </c>
      <c r="Q463" s="11">
        <f>jewels[[#This Row],[Total Sales Value]]-jewels[[#This Row],[Cost Per Unit]]</f>
        <v>25952048.571428567</v>
      </c>
      <c r="R463" s="13">
        <f>jewels[[#This Row],[Profit]]/jewels[[#This Row],[Cost Per Unit]]</f>
        <v>0.39999999999999991</v>
      </c>
    </row>
    <row r="464" spans="1:18" x14ac:dyDescent="0.25">
      <c r="A464" s="3">
        <v>463</v>
      </c>
      <c r="B464" s="4">
        <v>44389</v>
      </c>
      <c r="C464" s="3">
        <v>2021</v>
      </c>
      <c r="D464" s="3">
        <v>7</v>
      </c>
      <c r="E464" s="5" t="s">
        <v>49</v>
      </c>
      <c r="F464" s="3">
        <v>246</v>
      </c>
      <c r="G464" s="5" t="s">
        <v>38</v>
      </c>
      <c r="H464" s="5" t="s">
        <v>35</v>
      </c>
      <c r="I464" s="5" t="s">
        <v>29</v>
      </c>
      <c r="J464" s="5" t="s">
        <v>47</v>
      </c>
      <c r="K464" s="3">
        <v>60</v>
      </c>
      <c r="L464" s="11">
        <f>jewels[[#This Row],[Unit Price]]/(1+40%)</f>
        <v>6461500.7142857146</v>
      </c>
      <c r="M464" s="11">
        <v>9046101</v>
      </c>
      <c r="N464" s="3">
        <v>5</v>
      </c>
      <c r="O464" s="11">
        <f>jewels[[#This Row],[Cost ]]*jewels[[#This Row],[Sales_Qty]]</f>
        <v>32307503.571428575</v>
      </c>
      <c r="P464" s="11">
        <v>45230505</v>
      </c>
      <c r="Q464" s="11">
        <f>jewels[[#This Row],[Total Sales Value]]-jewels[[#This Row],[Cost Per Unit]]</f>
        <v>12923001.428571425</v>
      </c>
      <c r="R464" s="13">
        <f>jewels[[#This Row],[Profit]]/jewels[[#This Row],[Cost Per Unit]]</f>
        <v>0.39999999999999986</v>
      </c>
    </row>
    <row r="465" spans="1:18" x14ac:dyDescent="0.25">
      <c r="A465" s="3">
        <v>464</v>
      </c>
      <c r="B465" s="4">
        <v>44879</v>
      </c>
      <c r="C465" s="3">
        <v>2022</v>
      </c>
      <c r="D465" s="3">
        <v>11</v>
      </c>
      <c r="E465" s="5" t="s">
        <v>58</v>
      </c>
      <c r="F465" s="3">
        <v>147</v>
      </c>
      <c r="G465" s="5" t="s">
        <v>55</v>
      </c>
      <c r="H465" s="5" t="s">
        <v>56</v>
      </c>
      <c r="I465" s="5" t="s">
        <v>39</v>
      </c>
      <c r="J465" s="5" t="s">
        <v>50</v>
      </c>
      <c r="K465" s="3">
        <v>65</v>
      </c>
      <c r="L465" s="11">
        <f>jewels[[#This Row],[Unit Price]]/(1+40%)</f>
        <v>4064784.2857142859</v>
      </c>
      <c r="M465" s="11">
        <v>5690698</v>
      </c>
      <c r="N465" s="3">
        <v>7</v>
      </c>
      <c r="O465" s="11">
        <f>jewels[[#This Row],[Cost ]]*jewels[[#This Row],[Sales_Qty]]</f>
        <v>28453490</v>
      </c>
      <c r="P465" s="11">
        <v>39834886</v>
      </c>
      <c r="Q465" s="11">
        <f>jewels[[#This Row],[Total Sales Value]]-jewels[[#This Row],[Cost Per Unit]]</f>
        <v>11381396</v>
      </c>
      <c r="R465" s="13">
        <f>jewels[[#This Row],[Profit]]/jewels[[#This Row],[Cost Per Unit]]</f>
        <v>0.4</v>
      </c>
    </row>
    <row r="466" spans="1:18" x14ac:dyDescent="0.25">
      <c r="A466" s="3">
        <v>465</v>
      </c>
      <c r="B466" s="4">
        <v>44765</v>
      </c>
      <c r="C466" s="3">
        <v>2022</v>
      </c>
      <c r="D466" s="3">
        <v>7</v>
      </c>
      <c r="E466" s="5" t="s">
        <v>49</v>
      </c>
      <c r="F466" s="3">
        <v>442</v>
      </c>
      <c r="G466" s="5" t="s">
        <v>55</v>
      </c>
      <c r="H466" s="5" t="s">
        <v>56</v>
      </c>
      <c r="I466" s="5" t="s">
        <v>27</v>
      </c>
      <c r="J466" s="5" t="s">
        <v>44</v>
      </c>
      <c r="K466" s="3">
        <v>77</v>
      </c>
      <c r="L466" s="11">
        <f>jewels[[#This Row],[Unit Price]]/(1+40%)</f>
        <v>4826748.5714285718</v>
      </c>
      <c r="M466" s="11">
        <v>6757448</v>
      </c>
      <c r="N466" s="3">
        <v>9</v>
      </c>
      <c r="O466" s="11">
        <f>jewels[[#This Row],[Cost ]]*jewels[[#This Row],[Sales_Qty]]</f>
        <v>43440737.142857149</v>
      </c>
      <c r="P466" s="11">
        <v>60817032</v>
      </c>
      <c r="Q466" s="11">
        <f>jewels[[#This Row],[Total Sales Value]]-jewels[[#This Row],[Cost Per Unit]]</f>
        <v>17376294.857142851</v>
      </c>
      <c r="R466" s="13">
        <f>jewels[[#This Row],[Profit]]/jewels[[#This Row],[Cost Per Unit]]</f>
        <v>0.3999999999999998</v>
      </c>
    </row>
    <row r="467" spans="1:18" x14ac:dyDescent="0.25">
      <c r="A467" s="3">
        <v>466</v>
      </c>
      <c r="B467" s="4">
        <v>44642</v>
      </c>
      <c r="C467" s="3">
        <v>2022</v>
      </c>
      <c r="D467" s="3">
        <v>3</v>
      </c>
      <c r="E467" s="5" t="s">
        <v>43</v>
      </c>
      <c r="F467" s="3">
        <v>321</v>
      </c>
      <c r="G467" s="5" t="s">
        <v>20</v>
      </c>
      <c r="H467" s="5" t="s">
        <v>21</v>
      </c>
      <c r="I467" s="5" t="s">
        <v>39</v>
      </c>
      <c r="J467" s="5" t="s">
        <v>30</v>
      </c>
      <c r="K467" s="3">
        <v>76</v>
      </c>
      <c r="L467" s="11">
        <f>jewels[[#This Row],[Unit Price]]/(1+40%)</f>
        <v>7006710.7142857146</v>
      </c>
      <c r="M467" s="11">
        <v>9809395</v>
      </c>
      <c r="N467" s="3">
        <v>3</v>
      </c>
      <c r="O467" s="11">
        <f>jewels[[#This Row],[Cost ]]*jewels[[#This Row],[Sales_Qty]]</f>
        <v>21020132.142857142</v>
      </c>
      <c r="P467" s="11">
        <v>29428185</v>
      </c>
      <c r="Q467" s="11">
        <f>jewels[[#This Row],[Total Sales Value]]-jewels[[#This Row],[Cost Per Unit]]</f>
        <v>8408052.8571428582</v>
      </c>
      <c r="R467" s="13">
        <f>jewels[[#This Row],[Profit]]/jewels[[#This Row],[Cost Per Unit]]</f>
        <v>0.40000000000000008</v>
      </c>
    </row>
    <row r="468" spans="1:18" x14ac:dyDescent="0.25">
      <c r="A468" s="3">
        <v>467</v>
      </c>
      <c r="B468" s="4">
        <v>44281</v>
      </c>
      <c r="C468" s="3">
        <v>2021</v>
      </c>
      <c r="D468" s="3">
        <v>3</v>
      </c>
      <c r="E468" s="5" t="s">
        <v>43</v>
      </c>
      <c r="F468" s="3">
        <v>497</v>
      </c>
      <c r="G468" s="5" t="s">
        <v>25</v>
      </c>
      <c r="H468" s="5" t="s">
        <v>26</v>
      </c>
      <c r="I468" s="5" t="s">
        <v>40</v>
      </c>
      <c r="J468" s="5" t="s">
        <v>23</v>
      </c>
      <c r="K468" s="3">
        <v>73</v>
      </c>
      <c r="L468" s="11">
        <f>jewels[[#This Row],[Unit Price]]/(1+40%)</f>
        <v>4818789.2857142864</v>
      </c>
      <c r="M468" s="11">
        <v>6746305</v>
      </c>
      <c r="N468" s="3">
        <v>9</v>
      </c>
      <c r="O468" s="11">
        <f>jewels[[#This Row],[Cost ]]*jewels[[#This Row],[Sales_Qty]]</f>
        <v>43369103.571428575</v>
      </c>
      <c r="P468" s="11">
        <v>60716745</v>
      </c>
      <c r="Q468" s="11">
        <f>jewels[[#This Row],[Total Sales Value]]-jewels[[#This Row],[Cost Per Unit]]</f>
        <v>17347641.428571425</v>
      </c>
      <c r="R468" s="13">
        <f>jewels[[#This Row],[Profit]]/jewels[[#This Row],[Cost Per Unit]]</f>
        <v>0.39999999999999991</v>
      </c>
    </row>
    <row r="469" spans="1:18" x14ac:dyDescent="0.25">
      <c r="A469" s="3">
        <v>468</v>
      </c>
      <c r="B469" s="4">
        <v>45135</v>
      </c>
      <c r="C469" s="3">
        <v>2023</v>
      </c>
      <c r="D469" s="3">
        <v>7</v>
      </c>
      <c r="E469" s="5" t="s">
        <v>49</v>
      </c>
      <c r="F469" s="3">
        <v>398</v>
      </c>
      <c r="G469" s="5" t="s">
        <v>54</v>
      </c>
      <c r="H469" s="5" t="s">
        <v>21</v>
      </c>
      <c r="I469" s="5" t="s">
        <v>40</v>
      </c>
      <c r="J469" s="5" t="s">
        <v>30</v>
      </c>
      <c r="K469" s="3">
        <v>95</v>
      </c>
      <c r="L469" s="11">
        <f>jewels[[#This Row],[Unit Price]]/(1+40%)</f>
        <v>4865205</v>
      </c>
      <c r="M469" s="11">
        <v>6811287</v>
      </c>
      <c r="N469" s="3">
        <v>2</v>
      </c>
      <c r="O469" s="11">
        <f>jewels[[#This Row],[Cost ]]*jewels[[#This Row],[Sales_Qty]]</f>
        <v>9730410</v>
      </c>
      <c r="P469" s="11">
        <v>13622574</v>
      </c>
      <c r="Q469" s="11">
        <f>jewels[[#This Row],[Total Sales Value]]-jewels[[#This Row],[Cost Per Unit]]</f>
        <v>3892164</v>
      </c>
      <c r="R469" s="13">
        <f>jewels[[#This Row],[Profit]]/jewels[[#This Row],[Cost Per Unit]]</f>
        <v>0.4</v>
      </c>
    </row>
    <row r="470" spans="1:18" x14ac:dyDescent="0.25">
      <c r="A470" s="3">
        <v>469</v>
      </c>
      <c r="B470" s="4">
        <v>44766</v>
      </c>
      <c r="C470" s="3">
        <v>2022</v>
      </c>
      <c r="D470" s="3">
        <v>7</v>
      </c>
      <c r="E470" s="5" t="s">
        <v>49</v>
      </c>
      <c r="F470" s="3">
        <v>281</v>
      </c>
      <c r="G470" s="5" t="s">
        <v>52</v>
      </c>
      <c r="H470" s="5" t="s">
        <v>21</v>
      </c>
      <c r="I470" s="5" t="s">
        <v>29</v>
      </c>
      <c r="J470" s="5" t="s">
        <v>44</v>
      </c>
      <c r="K470" s="3">
        <v>58</v>
      </c>
      <c r="L470" s="11">
        <f>jewels[[#This Row],[Unit Price]]/(1+40%)</f>
        <v>7005365.7142857146</v>
      </c>
      <c r="M470" s="11">
        <v>9807512</v>
      </c>
      <c r="N470" s="3">
        <v>2</v>
      </c>
      <c r="O470" s="11">
        <f>jewels[[#This Row],[Cost ]]*jewels[[#This Row],[Sales_Qty]]</f>
        <v>14010731.428571429</v>
      </c>
      <c r="P470" s="11">
        <v>19615024</v>
      </c>
      <c r="Q470" s="11">
        <f>jewels[[#This Row],[Total Sales Value]]-jewels[[#This Row],[Cost Per Unit]]</f>
        <v>5604292.5714285709</v>
      </c>
      <c r="R470" s="13">
        <f>jewels[[#This Row],[Profit]]/jewels[[#This Row],[Cost Per Unit]]</f>
        <v>0.39999999999999997</v>
      </c>
    </row>
    <row r="471" spans="1:18" x14ac:dyDescent="0.25">
      <c r="A471" s="3">
        <v>470</v>
      </c>
      <c r="B471" s="4">
        <v>44953</v>
      </c>
      <c r="C471" s="3">
        <v>2023</v>
      </c>
      <c r="D471" s="3">
        <v>1</v>
      </c>
      <c r="E471" s="5" t="s">
        <v>41</v>
      </c>
      <c r="F471" s="3">
        <v>401</v>
      </c>
      <c r="G471" s="5" t="s">
        <v>46</v>
      </c>
      <c r="H471" s="5" t="s">
        <v>35</v>
      </c>
      <c r="I471" s="5" t="s">
        <v>27</v>
      </c>
      <c r="J471" s="5" t="s">
        <v>30</v>
      </c>
      <c r="K471" s="3">
        <v>99</v>
      </c>
      <c r="L471" s="11">
        <f>jewels[[#This Row],[Unit Price]]/(1+40%)</f>
        <v>3170291.4285714286</v>
      </c>
      <c r="M471" s="11">
        <v>4438408</v>
      </c>
      <c r="N471" s="3">
        <v>1</v>
      </c>
      <c r="O471" s="11">
        <f>jewels[[#This Row],[Cost ]]*jewels[[#This Row],[Sales_Qty]]</f>
        <v>3170291.4285714286</v>
      </c>
      <c r="P471" s="11">
        <v>4438408</v>
      </c>
      <c r="Q471" s="11">
        <f>jewels[[#This Row],[Total Sales Value]]-jewels[[#This Row],[Cost Per Unit]]</f>
        <v>1268116.5714285714</v>
      </c>
      <c r="R471" s="13">
        <f>jewels[[#This Row],[Profit]]/jewels[[#This Row],[Cost Per Unit]]</f>
        <v>0.39999999999999997</v>
      </c>
    </row>
    <row r="472" spans="1:18" x14ac:dyDescent="0.25">
      <c r="A472" s="3">
        <v>471</v>
      </c>
      <c r="B472" s="4">
        <v>44135</v>
      </c>
      <c r="C472" s="3">
        <v>2020</v>
      </c>
      <c r="D472" s="3">
        <v>10</v>
      </c>
      <c r="E472" s="5" t="s">
        <v>61</v>
      </c>
      <c r="F472" s="3">
        <v>103</v>
      </c>
      <c r="G472" s="5" t="s">
        <v>60</v>
      </c>
      <c r="H472" s="5" t="s">
        <v>16</v>
      </c>
      <c r="I472" s="5" t="s">
        <v>29</v>
      </c>
      <c r="J472" s="5" t="s">
        <v>30</v>
      </c>
      <c r="K472" s="3">
        <v>77</v>
      </c>
      <c r="L472" s="11">
        <f>jewels[[#This Row],[Unit Price]]/(1+40%)</f>
        <v>6934015.7142857146</v>
      </c>
      <c r="M472" s="11">
        <v>9707622</v>
      </c>
      <c r="N472" s="3">
        <v>8</v>
      </c>
      <c r="O472" s="11">
        <f>jewels[[#This Row],[Cost ]]*jewels[[#This Row],[Sales_Qty]]</f>
        <v>55472125.714285716</v>
      </c>
      <c r="P472" s="11">
        <v>77660976</v>
      </c>
      <c r="Q472" s="11">
        <f>jewels[[#This Row],[Total Sales Value]]-jewels[[#This Row],[Cost Per Unit]]</f>
        <v>22188850.285714284</v>
      </c>
      <c r="R472" s="13">
        <f>jewels[[#This Row],[Profit]]/jewels[[#This Row],[Cost Per Unit]]</f>
        <v>0.39999999999999997</v>
      </c>
    </row>
    <row r="473" spans="1:18" x14ac:dyDescent="0.25">
      <c r="A473" s="3">
        <v>472</v>
      </c>
      <c r="B473" s="4">
        <v>44086</v>
      </c>
      <c r="C473" s="3">
        <v>2020</v>
      </c>
      <c r="D473" s="3">
        <v>9</v>
      </c>
      <c r="E473" s="5" t="s">
        <v>33</v>
      </c>
      <c r="F473" s="3">
        <v>31</v>
      </c>
      <c r="G473" s="5" t="s">
        <v>64</v>
      </c>
      <c r="H473" s="5" t="s">
        <v>26</v>
      </c>
      <c r="I473" s="5" t="s">
        <v>27</v>
      </c>
      <c r="J473" s="5" t="s">
        <v>18</v>
      </c>
      <c r="K473" s="3">
        <v>84</v>
      </c>
      <c r="L473" s="11">
        <f>jewels[[#This Row],[Unit Price]]/(1+40%)</f>
        <v>6345124.2857142864</v>
      </c>
      <c r="M473" s="11">
        <v>8883174</v>
      </c>
      <c r="N473" s="3">
        <v>4</v>
      </c>
      <c r="O473" s="11">
        <f>jewels[[#This Row],[Cost ]]*jewels[[#This Row],[Sales_Qty]]</f>
        <v>25380497.142857146</v>
      </c>
      <c r="P473" s="11">
        <v>35532696</v>
      </c>
      <c r="Q473" s="11">
        <f>jewels[[#This Row],[Total Sales Value]]-jewels[[#This Row],[Cost Per Unit]]</f>
        <v>10152198.857142854</v>
      </c>
      <c r="R473" s="13">
        <f>jewels[[#This Row],[Profit]]/jewels[[#This Row],[Cost Per Unit]]</f>
        <v>0.39999999999999986</v>
      </c>
    </row>
    <row r="474" spans="1:18" x14ac:dyDescent="0.25">
      <c r="A474" s="3">
        <v>473</v>
      </c>
      <c r="B474" s="4">
        <v>44954</v>
      </c>
      <c r="C474" s="3">
        <v>2023</v>
      </c>
      <c r="D474" s="3">
        <v>1</v>
      </c>
      <c r="E474" s="5" t="s">
        <v>41</v>
      </c>
      <c r="F474" s="3">
        <v>323</v>
      </c>
      <c r="G474" s="5" t="s">
        <v>63</v>
      </c>
      <c r="H474" s="5" t="s">
        <v>21</v>
      </c>
      <c r="I474" s="5" t="s">
        <v>29</v>
      </c>
      <c r="J474" s="5" t="s">
        <v>45</v>
      </c>
      <c r="K474" s="3">
        <v>93</v>
      </c>
      <c r="L474" s="11">
        <f>jewels[[#This Row],[Unit Price]]/(1+40%)</f>
        <v>464088.57142857148</v>
      </c>
      <c r="M474" s="11">
        <v>649724</v>
      </c>
      <c r="N474" s="3">
        <v>6</v>
      </c>
      <c r="O474" s="11">
        <f>jewels[[#This Row],[Cost ]]*jewels[[#This Row],[Sales_Qty]]</f>
        <v>2784531.4285714291</v>
      </c>
      <c r="P474" s="11">
        <v>3898344</v>
      </c>
      <c r="Q474" s="11">
        <f>jewels[[#This Row],[Total Sales Value]]-jewels[[#This Row],[Cost Per Unit]]</f>
        <v>1113812.5714285709</v>
      </c>
      <c r="R474" s="13">
        <f>jewels[[#This Row],[Profit]]/jewels[[#This Row],[Cost Per Unit]]</f>
        <v>0.39999999999999974</v>
      </c>
    </row>
    <row r="475" spans="1:18" x14ac:dyDescent="0.25">
      <c r="A475" s="3">
        <v>474</v>
      </c>
      <c r="B475" s="4">
        <v>44685</v>
      </c>
      <c r="C475" s="3">
        <v>2022</v>
      </c>
      <c r="D475" s="3">
        <v>5</v>
      </c>
      <c r="E475" s="5" t="s">
        <v>53</v>
      </c>
      <c r="F475" s="3">
        <v>41</v>
      </c>
      <c r="G475" s="5" t="s">
        <v>64</v>
      </c>
      <c r="H475" s="5" t="s">
        <v>26</v>
      </c>
      <c r="I475" s="5" t="s">
        <v>40</v>
      </c>
      <c r="J475" s="5" t="s">
        <v>28</v>
      </c>
      <c r="K475" s="3">
        <v>81</v>
      </c>
      <c r="L475" s="11">
        <f>jewels[[#This Row],[Unit Price]]/(1+40%)</f>
        <v>6151740</v>
      </c>
      <c r="M475" s="11">
        <v>8612436</v>
      </c>
      <c r="N475" s="3">
        <v>8</v>
      </c>
      <c r="O475" s="11">
        <f>jewels[[#This Row],[Cost ]]*jewels[[#This Row],[Sales_Qty]]</f>
        <v>49213920</v>
      </c>
      <c r="P475" s="11">
        <v>68899488</v>
      </c>
      <c r="Q475" s="11">
        <f>jewels[[#This Row],[Total Sales Value]]-jewels[[#This Row],[Cost Per Unit]]</f>
        <v>19685568</v>
      </c>
      <c r="R475" s="13">
        <f>jewels[[#This Row],[Profit]]/jewels[[#This Row],[Cost Per Unit]]</f>
        <v>0.4</v>
      </c>
    </row>
    <row r="476" spans="1:18" x14ac:dyDescent="0.25">
      <c r="A476" s="3">
        <v>475</v>
      </c>
      <c r="B476" s="4">
        <v>44787</v>
      </c>
      <c r="C476" s="3">
        <v>2022</v>
      </c>
      <c r="D476" s="3">
        <v>8</v>
      </c>
      <c r="E476" s="5" t="s">
        <v>51</v>
      </c>
      <c r="F476" s="3">
        <v>237</v>
      </c>
      <c r="G476" s="5" t="s">
        <v>65</v>
      </c>
      <c r="H476" s="5" t="s">
        <v>56</v>
      </c>
      <c r="I476" s="5" t="s">
        <v>27</v>
      </c>
      <c r="J476" s="5" t="s">
        <v>47</v>
      </c>
      <c r="K476" s="3">
        <v>82</v>
      </c>
      <c r="L476" s="11">
        <f>jewels[[#This Row],[Unit Price]]/(1+40%)</f>
        <v>1206285</v>
      </c>
      <c r="M476" s="11">
        <v>1688799</v>
      </c>
      <c r="N476" s="3">
        <v>10</v>
      </c>
      <c r="O476" s="11">
        <f>jewels[[#This Row],[Cost ]]*jewels[[#This Row],[Sales_Qty]]</f>
        <v>12062850</v>
      </c>
      <c r="P476" s="11">
        <v>16887990</v>
      </c>
      <c r="Q476" s="11">
        <f>jewels[[#This Row],[Total Sales Value]]-jewels[[#This Row],[Cost Per Unit]]</f>
        <v>4825140</v>
      </c>
      <c r="R476" s="13">
        <f>jewels[[#This Row],[Profit]]/jewels[[#This Row],[Cost Per Unit]]</f>
        <v>0.4</v>
      </c>
    </row>
    <row r="477" spans="1:18" x14ac:dyDescent="0.25">
      <c r="A477" s="3">
        <v>476</v>
      </c>
      <c r="B477" s="4">
        <v>44478</v>
      </c>
      <c r="C477" s="3">
        <v>2021</v>
      </c>
      <c r="D477" s="3">
        <v>10</v>
      </c>
      <c r="E477" s="5" t="s">
        <v>61</v>
      </c>
      <c r="F477" s="3">
        <v>327</v>
      </c>
      <c r="G477" s="5" t="s">
        <v>60</v>
      </c>
      <c r="H477" s="5" t="s">
        <v>16</v>
      </c>
      <c r="I477" s="5" t="s">
        <v>29</v>
      </c>
      <c r="J477" s="5" t="s">
        <v>32</v>
      </c>
      <c r="K477" s="3">
        <v>87</v>
      </c>
      <c r="L477" s="11">
        <f>jewels[[#This Row],[Unit Price]]/(1+40%)</f>
        <v>2827375</v>
      </c>
      <c r="M477" s="11">
        <v>3958325</v>
      </c>
      <c r="N477" s="3">
        <v>5</v>
      </c>
      <c r="O477" s="11">
        <f>jewels[[#This Row],[Cost ]]*jewels[[#This Row],[Sales_Qty]]</f>
        <v>14136875</v>
      </c>
      <c r="P477" s="11">
        <v>19791625</v>
      </c>
      <c r="Q477" s="11">
        <f>jewels[[#This Row],[Total Sales Value]]-jewels[[#This Row],[Cost Per Unit]]</f>
        <v>5654750</v>
      </c>
      <c r="R477" s="13">
        <f>jewels[[#This Row],[Profit]]/jewels[[#This Row],[Cost Per Unit]]</f>
        <v>0.4</v>
      </c>
    </row>
    <row r="478" spans="1:18" x14ac:dyDescent="0.25">
      <c r="A478" s="3">
        <v>477</v>
      </c>
      <c r="B478" s="4">
        <v>44849</v>
      </c>
      <c r="C478" s="3">
        <v>2022</v>
      </c>
      <c r="D478" s="3">
        <v>10</v>
      </c>
      <c r="E478" s="5" t="s">
        <v>61</v>
      </c>
      <c r="F478" s="3">
        <v>478</v>
      </c>
      <c r="G478" s="5" t="s">
        <v>34</v>
      </c>
      <c r="H478" s="5" t="s">
        <v>35</v>
      </c>
      <c r="I478" s="5" t="s">
        <v>22</v>
      </c>
      <c r="J478" s="5" t="s">
        <v>50</v>
      </c>
      <c r="K478" s="3">
        <v>73</v>
      </c>
      <c r="L478" s="11">
        <f>jewels[[#This Row],[Unit Price]]/(1+40%)</f>
        <v>3797895.7142857146</v>
      </c>
      <c r="M478" s="11">
        <v>5317054</v>
      </c>
      <c r="N478" s="3">
        <v>2</v>
      </c>
      <c r="O478" s="11">
        <f>jewels[[#This Row],[Cost ]]*jewels[[#This Row],[Sales_Qty]]</f>
        <v>7595791.4285714291</v>
      </c>
      <c r="P478" s="11">
        <v>10634108</v>
      </c>
      <c r="Q478" s="11">
        <f>jewels[[#This Row],[Total Sales Value]]-jewels[[#This Row],[Cost Per Unit]]</f>
        <v>3038316.5714285709</v>
      </c>
      <c r="R478" s="13">
        <f>jewels[[#This Row],[Profit]]/jewels[[#This Row],[Cost Per Unit]]</f>
        <v>0.39999999999999991</v>
      </c>
    </row>
    <row r="479" spans="1:18" x14ac:dyDescent="0.25">
      <c r="A479" s="3">
        <v>478</v>
      </c>
      <c r="B479" s="4">
        <v>44522</v>
      </c>
      <c r="C479" s="3">
        <v>2021</v>
      </c>
      <c r="D479" s="3">
        <v>11</v>
      </c>
      <c r="E479" s="5" t="s">
        <v>58</v>
      </c>
      <c r="F479" s="3">
        <v>78</v>
      </c>
      <c r="G479" s="5" t="s">
        <v>60</v>
      </c>
      <c r="H479" s="5" t="s">
        <v>16</v>
      </c>
      <c r="I479" s="5" t="s">
        <v>27</v>
      </c>
      <c r="J479" s="5" t="s">
        <v>47</v>
      </c>
      <c r="K479" s="3">
        <v>60</v>
      </c>
      <c r="L479" s="11">
        <f>jewels[[#This Row],[Unit Price]]/(1+40%)</f>
        <v>5414513.5714285718</v>
      </c>
      <c r="M479" s="11">
        <v>7580319</v>
      </c>
      <c r="N479" s="3">
        <v>6</v>
      </c>
      <c r="O479" s="11">
        <f>jewels[[#This Row],[Cost ]]*jewels[[#This Row],[Sales_Qty]]</f>
        <v>32487081.428571433</v>
      </c>
      <c r="P479" s="11">
        <v>45481914</v>
      </c>
      <c r="Q479" s="11">
        <f>jewels[[#This Row],[Total Sales Value]]-jewels[[#This Row],[Cost Per Unit]]</f>
        <v>12994832.571428567</v>
      </c>
      <c r="R479" s="13">
        <f>jewels[[#This Row],[Profit]]/jewels[[#This Row],[Cost Per Unit]]</f>
        <v>0.3999999999999998</v>
      </c>
    </row>
    <row r="480" spans="1:18" x14ac:dyDescent="0.25">
      <c r="A480" s="3">
        <v>479</v>
      </c>
      <c r="B480" s="4">
        <v>44355</v>
      </c>
      <c r="C480" s="3">
        <v>2021</v>
      </c>
      <c r="D480" s="3">
        <v>6</v>
      </c>
      <c r="E480" s="5" t="s">
        <v>14</v>
      </c>
      <c r="F480" s="3">
        <v>377</v>
      </c>
      <c r="G480" s="5" t="s">
        <v>55</v>
      </c>
      <c r="H480" s="5" t="s">
        <v>56</v>
      </c>
      <c r="I480" s="5" t="s">
        <v>39</v>
      </c>
      <c r="J480" s="5" t="s">
        <v>30</v>
      </c>
      <c r="K480" s="3">
        <v>65</v>
      </c>
      <c r="L480" s="11">
        <f>jewels[[#This Row],[Unit Price]]/(1+40%)</f>
        <v>3591863.5714285718</v>
      </c>
      <c r="M480" s="11">
        <v>5028609</v>
      </c>
      <c r="N480" s="3">
        <v>2</v>
      </c>
      <c r="O480" s="11">
        <f>jewels[[#This Row],[Cost ]]*jewels[[#This Row],[Sales_Qty]]</f>
        <v>7183727.1428571437</v>
      </c>
      <c r="P480" s="11">
        <v>10057218</v>
      </c>
      <c r="Q480" s="11">
        <f>jewels[[#This Row],[Total Sales Value]]-jewels[[#This Row],[Cost Per Unit]]</f>
        <v>2873490.8571428563</v>
      </c>
      <c r="R480" s="13">
        <f>jewels[[#This Row],[Profit]]/jewels[[#This Row],[Cost Per Unit]]</f>
        <v>0.39999999999999986</v>
      </c>
    </row>
    <row r="481" spans="1:18" x14ac:dyDescent="0.25">
      <c r="A481" s="3">
        <v>480</v>
      </c>
      <c r="B481" s="4">
        <v>44260</v>
      </c>
      <c r="C481" s="3">
        <v>2021</v>
      </c>
      <c r="D481" s="3">
        <v>3</v>
      </c>
      <c r="E481" s="5" t="s">
        <v>43</v>
      </c>
      <c r="F481" s="3">
        <v>295</v>
      </c>
      <c r="G481" s="5" t="s">
        <v>63</v>
      </c>
      <c r="H481" s="5" t="s">
        <v>21</v>
      </c>
      <c r="I481" s="5" t="s">
        <v>17</v>
      </c>
      <c r="J481" s="5" t="s">
        <v>23</v>
      </c>
      <c r="K481" s="3">
        <v>76</v>
      </c>
      <c r="L481" s="11">
        <f>jewels[[#This Row],[Unit Price]]/(1+40%)</f>
        <v>7023373.5714285718</v>
      </c>
      <c r="M481" s="11">
        <v>9832723</v>
      </c>
      <c r="N481" s="3">
        <v>10</v>
      </c>
      <c r="O481" s="11">
        <f>jewels[[#This Row],[Cost ]]*jewels[[#This Row],[Sales_Qty]]</f>
        <v>70233735.714285716</v>
      </c>
      <c r="P481" s="11">
        <v>98327230</v>
      </c>
      <c r="Q481" s="11">
        <f>jewels[[#This Row],[Total Sales Value]]-jewels[[#This Row],[Cost Per Unit]]</f>
        <v>28093494.285714284</v>
      </c>
      <c r="R481" s="13">
        <f>jewels[[#This Row],[Profit]]/jewels[[#This Row],[Cost Per Unit]]</f>
        <v>0.39999999999999997</v>
      </c>
    </row>
    <row r="482" spans="1:18" x14ac:dyDescent="0.25">
      <c r="A482" s="3">
        <v>481</v>
      </c>
      <c r="B482" s="4">
        <v>45097</v>
      </c>
      <c r="C482" s="3">
        <v>2023</v>
      </c>
      <c r="D482" s="3">
        <v>6</v>
      </c>
      <c r="E482" s="5" t="s">
        <v>14</v>
      </c>
      <c r="F482" s="3">
        <v>344</v>
      </c>
      <c r="G482" s="5" t="s">
        <v>46</v>
      </c>
      <c r="H482" s="5" t="s">
        <v>35</v>
      </c>
      <c r="I482" s="5" t="s">
        <v>22</v>
      </c>
      <c r="J482" s="5" t="s">
        <v>47</v>
      </c>
      <c r="K482" s="3">
        <v>79</v>
      </c>
      <c r="L482" s="11">
        <f>jewels[[#This Row],[Unit Price]]/(1+40%)</f>
        <v>2997565</v>
      </c>
      <c r="M482" s="11">
        <v>4196591</v>
      </c>
      <c r="N482" s="3">
        <v>6</v>
      </c>
      <c r="O482" s="11">
        <f>jewels[[#This Row],[Cost ]]*jewels[[#This Row],[Sales_Qty]]</f>
        <v>17985390</v>
      </c>
      <c r="P482" s="11">
        <v>25179546</v>
      </c>
      <c r="Q482" s="11">
        <f>jewels[[#This Row],[Total Sales Value]]-jewels[[#This Row],[Cost Per Unit]]</f>
        <v>7194156</v>
      </c>
      <c r="R482" s="13">
        <f>jewels[[#This Row],[Profit]]/jewels[[#This Row],[Cost Per Unit]]</f>
        <v>0.4</v>
      </c>
    </row>
    <row r="483" spans="1:18" x14ac:dyDescent="0.25">
      <c r="A483" s="3">
        <v>482</v>
      </c>
      <c r="B483" s="4">
        <v>45107</v>
      </c>
      <c r="C483" s="3">
        <v>2023</v>
      </c>
      <c r="D483" s="3">
        <v>6</v>
      </c>
      <c r="E483" s="5" t="s">
        <v>14</v>
      </c>
      <c r="F483" s="3">
        <v>177</v>
      </c>
      <c r="G483" s="5" t="s">
        <v>63</v>
      </c>
      <c r="H483" s="5" t="s">
        <v>21</v>
      </c>
      <c r="I483" s="5" t="s">
        <v>27</v>
      </c>
      <c r="J483" s="5" t="s">
        <v>45</v>
      </c>
      <c r="K483" s="3">
        <v>96</v>
      </c>
      <c r="L483" s="11">
        <f>jewels[[#This Row],[Unit Price]]/(1+40%)</f>
        <v>2577477.1428571432</v>
      </c>
      <c r="M483" s="11">
        <v>3608468</v>
      </c>
      <c r="N483" s="3">
        <v>5</v>
      </c>
      <c r="O483" s="11">
        <f>jewels[[#This Row],[Cost ]]*jewels[[#This Row],[Sales_Qty]]</f>
        <v>12887385.714285716</v>
      </c>
      <c r="P483" s="11">
        <v>18042340</v>
      </c>
      <c r="Q483" s="11">
        <f>jewels[[#This Row],[Total Sales Value]]-jewels[[#This Row],[Cost Per Unit]]</f>
        <v>5154954.2857142836</v>
      </c>
      <c r="R483" s="13">
        <f>jewels[[#This Row],[Profit]]/jewels[[#This Row],[Cost Per Unit]]</f>
        <v>0.39999999999999974</v>
      </c>
    </row>
    <row r="484" spans="1:18" x14ac:dyDescent="0.25">
      <c r="A484" s="3">
        <v>483</v>
      </c>
      <c r="B484" s="4">
        <v>44097</v>
      </c>
      <c r="C484" s="3">
        <v>2020</v>
      </c>
      <c r="D484" s="3">
        <v>9</v>
      </c>
      <c r="E484" s="5" t="s">
        <v>33</v>
      </c>
      <c r="F484" s="3">
        <v>90</v>
      </c>
      <c r="G484" s="5" t="s">
        <v>60</v>
      </c>
      <c r="H484" s="5" t="s">
        <v>16</v>
      </c>
      <c r="I484" s="5" t="s">
        <v>22</v>
      </c>
      <c r="J484" s="5" t="s">
        <v>30</v>
      </c>
      <c r="K484" s="3">
        <v>100</v>
      </c>
      <c r="L484" s="11">
        <f>jewels[[#This Row],[Unit Price]]/(1+40%)</f>
        <v>3605815.7142857146</v>
      </c>
      <c r="M484" s="11">
        <v>5048142</v>
      </c>
      <c r="N484" s="3">
        <v>8</v>
      </c>
      <c r="O484" s="11">
        <f>jewels[[#This Row],[Cost ]]*jewels[[#This Row],[Sales_Qty]]</f>
        <v>28846525.714285716</v>
      </c>
      <c r="P484" s="11">
        <v>40385136</v>
      </c>
      <c r="Q484" s="11">
        <f>jewels[[#This Row],[Total Sales Value]]-jewels[[#This Row],[Cost Per Unit]]</f>
        <v>11538610.285714284</v>
      </c>
      <c r="R484" s="13">
        <f>jewels[[#This Row],[Profit]]/jewels[[#This Row],[Cost Per Unit]]</f>
        <v>0.39999999999999991</v>
      </c>
    </row>
    <row r="485" spans="1:18" x14ac:dyDescent="0.25">
      <c r="A485" s="3">
        <v>484</v>
      </c>
      <c r="B485" s="4">
        <v>45155</v>
      </c>
      <c r="C485" s="3">
        <v>2023</v>
      </c>
      <c r="D485" s="3">
        <v>8</v>
      </c>
      <c r="E485" s="5" t="s">
        <v>51</v>
      </c>
      <c r="F485" s="3">
        <v>215</v>
      </c>
      <c r="G485" s="5" t="s">
        <v>38</v>
      </c>
      <c r="H485" s="5" t="s">
        <v>35</v>
      </c>
      <c r="I485" s="5" t="s">
        <v>29</v>
      </c>
      <c r="J485" s="5" t="s">
        <v>44</v>
      </c>
      <c r="K485" s="3">
        <v>98</v>
      </c>
      <c r="L485" s="11">
        <f>jewels[[#This Row],[Unit Price]]/(1+40%)</f>
        <v>6959200.7142857146</v>
      </c>
      <c r="M485" s="11">
        <v>9742881</v>
      </c>
      <c r="N485" s="3">
        <v>3</v>
      </c>
      <c r="O485" s="11">
        <f>jewels[[#This Row],[Cost ]]*jewels[[#This Row],[Sales_Qty]]</f>
        <v>20877602.142857142</v>
      </c>
      <c r="P485" s="11">
        <v>29228643</v>
      </c>
      <c r="Q485" s="11">
        <f>jewels[[#This Row],[Total Sales Value]]-jewels[[#This Row],[Cost Per Unit]]</f>
        <v>8351040.8571428582</v>
      </c>
      <c r="R485" s="13">
        <f>jewels[[#This Row],[Profit]]/jewels[[#This Row],[Cost Per Unit]]</f>
        <v>0.40000000000000008</v>
      </c>
    </row>
    <row r="486" spans="1:18" x14ac:dyDescent="0.25">
      <c r="A486" s="3">
        <v>485</v>
      </c>
      <c r="B486" s="4">
        <v>44903</v>
      </c>
      <c r="C486" s="3">
        <v>2022</v>
      </c>
      <c r="D486" s="3">
        <v>12</v>
      </c>
      <c r="E486" s="5" t="s">
        <v>37</v>
      </c>
      <c r="F486" s="3">
        <v>358</v>
      </c>
      <c r="G486" s="5" t="s">
        <v>57</v>
      </c>
      <c r="H486" s="5" t="s">
        <v>35</v>
      </c>
      <c r="I486" s="5" t="s">
        <v>22</v>
      </c>
      <c r="J486" s="5" t="s">
        <v>28</v>
      </c>
      <c r="K486" s="3">
        <v>60</v>
      </c>
      <c r="L486" s="11">
        <f>jewels[[#This Row],[Unit Price]]/(1+40%)</f>
        <v>1359841.4285714286</v>
      </c>
      <c r="M486" s="11">
        <v>1903778</v>
      </c>
      <c r="N486" s="3">
        <v>4</v>
      </c>
      <c r="O486" s="11">
        <f>jewels[[#This Row],[Cost ]]*jewels[[#This Row],[Sales_Qty]]</f>
        <v>5439365.7142857146</v>
      </c>
      <c r="P486" s="11">
        <v>7615112</v>
      </c>
      <c r="Q486" s="11">
        <f>jewels[[#This Row],[Total Sales Value]]-jewels[[#This Row],[Cost Per Unit]]</f>
        <v>2175746.2857142854</v>
      </c>
      <c r="R486" s="13">
        <f>jewels[[#This Row],[Profit]]/jewels[[#This Row],[Cost Per Unit]]</f>
        <v>0.39999999999999991</v>
      </c>
    </row>
    <row r="487" spans="1:18" x14ac:dyDescent="0.25">
      <c r="A487" s="3">
        <v>486</v>
      </c>
      <c r="B487" s="4">
        <v>44193</v>
      </c>
      <c r="C487" s="3">
        <v>2020</v>
      </c>
      <c r="D487" s="3">
        <v>12</v>
      </c>
      <c r="E487" s="5" t="s">
        <v>37</v>
      </c>
      <c r="F487" s="3">
        <v>168</v>
      </c>
      <c r="G487" s="5" t="s">
        <v>46</v>
      </c>
      <c r="H487" s="5" t="s">
        <v>35</v>
      </c>
      <c r="I487" s="5" t="s">
        <v>40</v>
      </c>
      <c r="J487" s="5" t="s">
        <v>45</v>
      </c>
      <c r="K487" s="3">
        <v>51</v>
      </c>
      <c r="L487" s="11">
        <f>jewels[[#This Row],[Unit Price]]/(1+40%)</f>
        <v>1579973.5714285716</v>
      </c>
      <c r="M487" s="11">
        <v>2211963</v>
      </c>
      <c r="N487" s="3">
        <v>9</v>
      </c>
      <c r="O487" s="11">
        <f>jewels[[#This Row],[Cost ]]*jewels[[#This Row],[Sales_Qty]]</f>
        <v>14219762.142857144</v>
      </c>
      <c r="P487" s="11">
        <v>19907667</v>
      </c>
      <c r="Q487" s="11">
        <f>jewels[[#This Row],[Total Sales Value]]-jewels[[#This Row],[Cost Per Unit]]</f>
        <v>5687904.8571428563</v>
      </c>
      <c r="R487" s="13">
        <f>jewels[[#This Row],[Profit]]/jewels[[#This Row],[Cost Per Unit]]</f>
        <v>0.39999999999999991</v>
      </c>
    </row>
    <row r="488" spans="1:18" x14ac:dyDescent="0.25">
      <c r="A488" s="3">
        <v>487</v>
      </c>
      <c r="B488" s="4">
        <v>44559</v>
      </c>
      <c r="C488" s="3">
        <v>2021</v>
      </c>
      <c r="D488" s="3">
        <v>12</v>
      </c>
      <c r="E488" s="5" t="s">
        <v>37</v>
      </c>
      <c r="F488" s="3">
        <v>380</v>
      </c>
      <c r="G488" s="5" t="s">
        <v>63</v>
      </c>
      <c r="H488" s="5" t="s">
        <v>21</v>
      </c>
      <c r="I488" s="5" t="s">
        <v>40</v>
      </c>
      <c r="J488" s="5" t="s">
        <v>18</v>
      </c>
      <c r="K488" s="3">
        <v>82</v>
      </c>
      <c r="L488" s="11">
        <f>jewels[[#This Row],[Unit Price]]/(1+40%)</f>
        <v>1223981.4285714286</v>
      </c>
      <c r="M488" s="11">
        <v>1713574</v>
      </c>
      <c r="N488" s="3">
        <v>9</v>
      </c>
      <c r="O488" s="11">
        <f>jewels[[#This Row],[Cost ]]*jewels[[#This Row],[Sales_Qty]]</f>
        <v>11015832.857142858</v>
      </c>
      <c r="P488" s="11">
        <v>15422166</v>
      </c>
      <c r="Q488" s="11">
        <f>jewels[[#This Row],[Total Sales Value]]-jewels[[#This Row],[Cost Per Unit]]</f>
        <v>4406333.1428571418</v>
      </c>
      <c r="R488" s="13">
        <f>jewels[[#This Row],[Profit]]/jewels[[#This Row],[Cost Per Unit]]</f>
        <v>0.39999999999999986</v>
      </c>
    </row>
    <row r="489" spans="1:18" x14ac:dyDescent="0.25">
      <c r="A489" s="3">
        <v>488</v>
      </c>
      <c r="B489" s="4">
        <v>45072</v>
      </c>
      <c r="C489" s="3">
        <v>2023</v>
      </c>
      <c r="D489" s="3">
        <v>5</v>
      </c>
      <c r="E489" s="5" t="s">
        <v>53</v>
      </c>
      <c r="F489" s="3">
        <v>333</v>
      </c>
      <c r="G489" s="5" t="s">
        <v>60</v>
      </c>
      <c r="H489" s="5" t="s">
        <v>16</v>
      </c>
      <c r="I489" s="5" t="s">
        <v>27</v>
      </c>
      <c r="J489" s="5" t="s">
        <v>18</v>
      </c>
      <c r="K489" s="3">
        <v>50</v>
      </c>
      <c r="L489" s="11">
        <f>jewels[[#This Row],[Unit Price]]/(1+40%)</f>
        <v>6063521.4285714291</v>
      </c>
      <c r="M489" s="11">
        <v>8488930</v>
      </c>
      <c r="N489" s="3">
        <v>10</v>
      </c>
      <c r="O489" s="11">
        <f>jewels[[#This Row],[Cost ]]*jewels[[#This Row],[Sales_Qty]]</f>
        <v>60635214.285714291</v>
      </c>
      <c r="P489" s="11">
        <v>84889300</v>
      </c>
      <c r="Q489" s="11">
        <f>jewels[[#This Row],[Total Sales Value]]-jewels[[#This Row],[Cost Per Unit]]</f>
        <v>24254085.714285709</v>
      </c>
      <c r="R489" s="13">
        <f>jewels[[#This Row],[Profit]]/jewels[[#This Row],[Cost Per Unit]]</f>
        <v>0.39999999999999986</v>
      </c>
    </row>
    <row r="490" spans="1:18" x14ac:dyDescent="0.25">
      <c r="A490" s="3">
        <v>489</v>
      </c>
      <c r="B490" s="4">
        <v>44954</v>
      </c>
      <c r="C490" s="3">
        <v>2023</v>
      </c>
      <c r="D490" s="3">
        <v>1</v>
      </c>
      <c r="E490" s="5" t="s">
        <v>41</v>
      </c>
      <c r="F490" s="3">
        <v>224</v>
      </c>
      <c r="G490" s="5" t="s">
        <v>65</v>
      </c>
      <c r="H490" s="5" t="s">
        <v>56</v>
      </c>
      <c r="I490" s="5" t="s">
        <v>17</v>
      </c>
      <c r="J490" s="5" t="s">
        <v>28</v>
      </c>
      <c r="K490" s="3">
        <v>58</v>
      </c>
      <c r="L490" s="11">
        <f>jewels[[#This Row],[Unit Price]]/(1+40%)</f>
        <v>423720.71428571432</v>
      </c>
      <c r="M490" s="11">
        <v>593209</v>
      </c>
      <c r="N490" s="3">
        <v>5</v>
      </c>
      <c r="O490" s="11">
        <f>jewels[[#This Row],[Cost ]]*jewels[[#This Row],[Sales_Qty]]</f>
        <v>2118603.5714285718</v>
      </c>
      <c r="P490" s="11">
        <v>2966045</v>
      </c>
      <c r="Q490" s="11">
        <f>jewels[[#This Row],[Total Sales Value]]-jewels[[#This Row],[Cost Per Unit]]</f>
        <v>847441.42857142817</v>
      </c>
      <c r="R490" s="13">
        <f>jewels[[#This Row],[Profit]]/jewels[[#This Row],[Cost Per Unit]]</f>
        <v>0.39999999999999974</v>
      </c>
    </row>
    <row r="491" spans="1:18" x14ac:dyDescent="0.25">
      <c r="A491" s="3">
        <v>490</v>
      </c>
      <c r="B491" s="4">
        <v>44750</v>
      </c>
      <c r="C491" s="3">
        <v>2022</v>
      </c>
      <c r="D491" s="3">
        <v>7</v>
      </c>
      <c r="E491" s="5" t="s">
        <v>49</v>
      </c>
      <c r="F491" s="3">
        <v>12</v>
      </c>
      <c r="G491" s="5" t="s">
        <v>64</v>
      </c>
      <c r="H491" s="5" t="s">
        <v>26</v>
      </c>
      <c r="I491" s="5" t="s">
        <v>17</v>
      </c>
      <c r="J491" s="5" t="s">
        <v>32</v>
      </c>
      <c r="K491" s="3">
        <v>82</v>
      </c>
      <c r="L491" s="11">
        <f>jewels[[#This Row],[Unit Price]]/(1+40%)</f>
        <v>2953957.8571428573</v>
      </c>
      <c r="M491" s="11">
        <v>4135541</v>
      </c>
      <c r="N491" s="3">
        <v>2</v>
      </c>
      <c r="O491" s="11">
        <f>jewels[[#This Row],[Cost ]]*jewels[[#This Row],[Sales_Qty]]</f>
        <v>5907915.7142857146</v>
      </c>
      <c r="P491" s="11">
        <v>8271082</v>
      </c>
      <c r="Q491" s="11">
        <f>jewels[[#This Row],[Total Sales Value]]-jewels[[#This Row],[Cost Per Unit]]</f>
        <v>2363166.2857142854</v>
      </c>
      <c r="R491" s="13">
        <f>jewels[[#This Row],[Profit]]/jewels[[#This Row],[Cost Per Unit]]</f>
        <v>0.39999999999999991</v>
      </c>
    </row>
    <row r="492" spans="1:18" x14ac:dyDescent="0.25">
      <c r="A492" s="3">
        <v>491</v>
      </c>
      <c r="B492" s="4">
        <v>45066</v>
      </c>
      <c r="C492" s="3">
        <v>2023</v>
      </c>
      <c r="D492" s="3">
        <v>5</v>
      </c>
      <c r="E492" s="5" t="s">
        <v>53</v>
      </c>
      <c r="F492" s="3">
        <v>44</v>
      </c>
      <c r="G492" s="5" t="s">
        <v>55</v>
      </c>
      <c r="H492" s="5" t="s">
        <v>56</v>
      </c>
      <c r="I492" s="5" t="s">
        <v>17</v>
      </c>
      <c r="J492" s="5" t="s">
        <v>32</v>
      </c>
      <c r="K492" s="3">
        <v>100</v>
      </c>
      <c r="L492" s="11">
        <f>jewels[[#This Row],[Unit Price]]/(1+40%)</f>
        <v>4050908.5714285718</v>
      </c>
      <c r="M492" s="11">
        <v>5671272</v>
      </c>
      <c r="N492" s="3">
        <v>9</v>
      </c>
      <c r="O492" s="11">
        <f>jewels[[#This Row],[Cost ]]*jewels[[#This Row],[Sales_Qty]]</f>
        <v>36458177.142857149</v>
      </c>
      <c r="P492" s="11">
        <v>51041448</v>
      </c>
      <c r="Q492" s="11">
        <f>jewels[[#This Row],[Total Sales Value]]-jewels[[#This Row],[Cost Per Unit]]</f>
        <v>14583270.857142851</v>
      </c>
      <c r="R492" s="13">
        <f>jewels[[#This Row],[Profit]]/jewels[[#This Row],[Cost Per Unit]]</f>
        <v>0.39999999999999974</v>
      </c>
    </row>
    <row r="493" spans="1:18" x14ac:dyDescent="0.25">
      <c r="A493" s="3">
        <v>492</v>
      </c>
      <c r="B493" s="4">
        <v>44673</v>
      </c>
      <c r="C493" s="3">
        <v>2022</v>
      </c>
      <c r="D493" s="3">
        <v>4</v>
      </c>
      <c r="E493" s="5" t="s">
        <v>24</v>
      </c>
      <c r="F493" s="3">
        <v>153</v>
      </c>
      <c r="G493" s="5" t="s">
        <v>38</v>
      </c>
      <c r="H493" s="5" t="s">
        <v>35</v>
      </c>
      <c r="I493" s="5" t="s">
        <v>39</v>
      </c>
      <c r="J493" s="5" t="s">
        <v>47</v>
      </c>
      <c r="K493" s="3">
        <v>61</v>
      </c>
      <c r="L493" s="11">
        <f>jewels[[#This Row],[Unit Price]]/(1+40%)</f>
        <v>6600784.2857142864</v>
      </c>
      <c r="M493" s="11">
        <v>9241098</v>
      </c>
      <c r="N493" s="3">
        <v>4</v>
      </c>
      <c r="O493" s="11">
        <f>jewels[[#This Row],[Cost ]]*jewels[[#This Row],[Sales_Qty]]</f>
        <v>26403137.142857146</v>
      </c>
      <c r="P493" s="11">
        <v>36964392</v>
      </c>
      <c r="Q493" s="11">
        <f>jewels[[#This Row],[Total Sales Value]]-jewels[[#This Row],[Cost Per Unit]]</f>
        <v>10561254.857142854</v>
      </c>
      <c r="R493" s="13">
        <f>jewels[[#This Row],[Profit]]/jewels[[#This Row],[Cost Per Unit]]</f>
        <v>0.39999999999999986</v>
      </c>
    </row>
    <row r="494" spans="1:18" x14ac:dyDescent="0.25">
      <c r="A494" s="3">
        <v>493</v>
      </c>
      <c r="B494" s="4">
        <v>44016</v>
      </c>
      <c r="C494" s="3">
        <v>2020</v>
      </c>
      <c r="D494" s="3">
        <v>7</v>
      </c>
      <c r="E494" s="5" t="s">
        <v>49</v>
      </c>
      <c r="F494" s="3">
        <v>86</v>
      </c>
      <c r="G494" s="5" t="s">
        <v>63</v>
      </c>
      <c r="H494" s="5" t="s">
        <v>21</v>
      </c>
      <c r="I494" s="5" t="s">
        <v>29</v>
      </c>
      <c r="J494" s="5" t="s">
        <v>30</v>
      </c>
      <c r="K494" s="3">
        <v>99</v>
      </c>
      <c r="L494" s="11">
        <f>jewels[[#This Row],[Unit Price]]/(1+40%)</f>
        <v>1883720.7142857143</v>
      </c>
      <c r="M494" s="11">
        <v>2637209</v>
      </c>
      <c r="N494" s="3">
        <v>9</v>
      </c>
      <c r="O494" s="11">
        <f>jewels[[#This Row],[Cost ]]*jewels[[#This Row],[Sales_Qty]]</f>
        <v>16953486.428571429</v>
      </c>
      <c r="P494" s="11">
        <v>23734881</v>
      </c>
      <c r="Q494" s="11">
        <f>jewels[[#This Row],[Total Sales Value]]-jewels[[#This Row],[Cost Per Unit]]</f>
        <v>6781394.5714285709</v>
      </c>
      <c r="R494" s="13">
        <f>jewels[[#This Row],[Profit]]/jewels[[#This Row],[Cost Per Unit]]</f>
        <v>0.39999999999999997</v>
      </c>
    </row>
    <row r="495" spans="1:18" x14ac:dyDescent="0.25">
      <c r="A495" s="3">
        <v>494</v>
      </c>
      <c r="B495" s="4">
        <v>44045</v>
      </c>
      <c r="C495" s="3">
        <v>2020</v>
      </c>
      <c r="D495" s="3">
        <v>8</v>
      </c>
      <c r="E495" s="5" t="s">
        <v>51</v>
      </c>
      <c r="F495" s="3">
        <v>423</v>
      </c>
      <c r="G495" s="5" t="s">
        <v>57</v>
      </c>
      <c r="H495" s="5" t="s">
        <v>35</v>
      </c>
      <c r="I495" s="5" t="s">
        <v>29</v>
      </c>
      <c r="J495" s="5" t="s">
        <v>28</v>
      </c>
      <c r="K495" s="3">
        <v>60</v>
      </c>
      <c r="L495" s="11">
        <f>jewels[[#This Row],[Unit Price]]/(1+40%)</f>
        <v>1261653.5714285716</v>
      </c>
      <c r="M495" s="11">
        <v>1766315</v>
      </c>
      <c r="N495" s="3">
        <v>8</v>
      </c>
      <c r="O495" s="11">
        <f>jewels[[#This Row],[Cost ]]*jewels[[#This Row],[Sales_Qty]]</f>
        <v>10093228.571428573</v>
      </c>
      <c r="P495" s="11">
        <v>14130520</v>
      </c>
      <c r="Q495" s="11">
        <f>jewels[[#This Row],[Total Sales Value]]-jewels[[#This Row],[Cost Per Unit]]</f>
        <v>4037291.4285714272</v>
      </c>
      <c r="R495" s="13">
        <f>jewels[[#This Row],[Profit]]/jewels[[#This Row],[Cost Per Unit]]</f>
        <v>0.3999999999999998</v>
      </c>
    </row>
    <row r="496" spans="1:18" x14ac:dyDescent="0.25">
      <c r="A496" s="3">
        <v>495</v>
      </c>
      <c r="B496" s="4">
        <v>44335</v>
      </c>
      <c r="C496" s="3">
        <v>2021</v>
      </c>
      <c r="D496" s="3">
        <v>5</v>
      </c>
      <c r="E496" s="5" t="s">
        <v>53</v>
      </c>
      <c r="F496" s="3">
        <v>120</v>
      </c>
      <c r="G496" s="5" t="s">
        <v>64</v>
      </c>
      <c r="H496" s="5" t="s">
        <v>26</v>
      </c>
      <c r="I496" s="5" t="s">
        <v>29</v>
      </c>
      <c r="J496" s="5" t="s">
        <v>28</v>
      </c>
      <c r="K496" s="3">
        <v>89</v>
      </c>
      <c r="L496" s="11">
        <f>jewels[[#This Row],[Unit Price]]/(1+40%)</f>
        <v>1561860</v>
      </c>
      <c r="M496" s="11">
        <v>2186604</v>
      </c>
      <c r="N496" s="3">
        <v>2</v>
      </c>
      <c r="O496" s="11">
        <f>jewels[[#This Row],[Cost ]]*jewels[[#This Row],[Sales_Qty]]</f>
        <v>3123720</v>
      </c>
      <c r="P496" s="11">
        <v>4373208</v>
      </c>
      <c r="Q496" s="11">
        <f>jewels[[#This Row],[Total Sales Value]]-jewels[[#This Row],[Cost Per Unit]]</f>
        <v>1249488</v>
      </c>
      <c r="R496" s="13">
        <f>jewels[[#This Row],[Profit]]/jewels[[#This Row],[Cost Per Unit]]</f>
        <v>0.4</v>
      </c>
    </row>
    <row r="497" spans="1:18" x14ac:dyDescent="0.25">
      <c r="A497" s="3">
        <v>496</v>
      </c>
      <c r="B497" s="4">
        <v>45309</v>
      </c>
      <c r="C497" s="3">
        <v>2024</v>
      </c>
      <c r="D497" s="3">
        <v>1</v>
      </c>
      <c r="E497" s="5" t="s">
        <v>41</v>
      </c>
      <c r="F497" s="3">
        <v>213</v>
      </c>
      <c r="G497" s="5" t="s">
        <v>63</v>
      </c>
      <c r="H497" s="5" t="s">
        <v>21</v>
      </c>
      <c r="I497" s="5" t="s">
        <v>27</v>
      </c>
      <c r="J497" s="5" t="s">
        <v>44</v>
      </c>
      <c r="K497" s="3">
        <v>62</v>
      </c>
      <c r="L497" s="11">
        <f>jewels[[#This Row],[Unit Price]]/(1+40%)</f>
        <v>4092267.8571428573</v>
      </c>
      <c r="M497" s="11">
        <v>5729175</v>
      </c>
      <c r="N497" s="3">
        <v>2</v>
      </c>
      <c r="O497" s="11">
        <f>jewels[[#This Row],[Cost ]]*jewels[[#This Row],[Sales_Qty]]</f>
        <v>8184535.7142857146</v>
      </c>
      <c r="P497" s="11">
        <v>11458350</v>
      </c>
      <c r="Q497" s="11">
        <f>jewels[[#This Row],[Total Sales Value]]-jewels[[#This Row],[Cost Per Unit]]</f>
        <v>3273814.2857142854</v>
      </c>
      <c r="R497" s="13">
        <f>jewels[[#This Row],[Profit]]/jewels[[#This Row],[Cost Per Unit]]</f>
        <v>0.39999999999999997</v>
      </c>
    </row>
    <row r="498" spans="1:18" x14ac:dyDescent="0.25">
      <c r="A498" s="3">
        <v>497</v>
      </c>
      <c r="B498" s="4">
        <v>44728</v>
      </c>
      <c r="C498" s="3">
        <v>2022</v>
      </c>
      <c r="D498" s="3">
        <v>6</v>
      </c>
      <c r="E498" s="5" t="s">
        <v>14</v>
      </c>
      <c r="F498" s="3">
        <v>215</v>
      </c>
      <c r="G498" s="5" t="s">
        <v>57</v>
      </c>
      <c r="H498" s="5" t="s">
        <v>35</v>
      </c>
      <c r="I498" s="5" t="s">
        <v>22</v>
      </c>
      <c r="J498" s="5" t="s">
        <v>32</v>
      </c>
      <c r="K498" s="3">
        <v>100</v>
      </c>
      <c r="L498" s="11">
        <f>jewels[[#This Row],[Unit Price]]/(1+40%)</f>
        <v>1322325</v>
      </c>
      <c r="M498" s="11">
        <v>1851255</v>
      </c>
      <c r="N498" s="3">
        <v>7</v>
      </c>
      <c r="O498" s="11">
        <f>jewels[[#This Row],[Cost ]]*jewels[[#This Row],[Sales_Qty]]</f>
        <v>9256275</v>
      </c>
      <c r="P498" s="11">
        <v>12958785</v>
      </c>
      <c r="Q498" s="11">
        <f>jewels[[#This Row],[Total Sales Value]]-jewels[[#This Row],[Cost Per Unit]]</f>
        <v>3702510</v>
      </c>
      <c r="R498" s="13">
        <f>jewels[[#This Row],[Profit]]/jewels[[#This Row],[Cost Per Unit]]</f>
        <v>0.4</v>
      </c>
    </row>
    <row r="499" spans="1:18" x14ac:dyDescent="0.25">
      <c r="A499" s="3">
        <v>498</v>
      </c>
      <c r="B499" s="4">
        <v>44906</v>
      </c>
      <c r="C499" s="3">
        <v>2022</v>
      </c>
      <c r="D499" s="3">
        <v>12</v>
      </c>
      <c r="E499" s="5" t="s">
        <v>37</v>
      </c>
      <c r="F499" s="3">
        <v>478</v>
      </c>
      <c r="G499" s="5" t="s">
        <v>64</v>
      </c>
      <c r="H499" s="5" t="s">
        <v>26</v>
      </c>
      <c r="I499" s="5" t="s">
        <v>27</v>
      </c>
      <c r="J499" s="5" t="s">
        <v>47</v>
      </c>
      <c r="K499" s="3">
        <v>61</v>
      </c>
      <c r="L499" s="11">
        <f>jewels[[#This Row],[Unit Price]]/(1+40%)</f>
        <v>3245222.8571428573</v>
      </c>
      <c r="M499" s="11">
        <v>4543312</v>
      </c>
      <c r="N499" s="3">
        <v>6</v>
      </c>
      <c r="O499" s="11">
        <f>jewels[[#This Row],[Cost ]]*jewels[[#This Row],[Sales_Qty]]</f>
        <v>19471337.142857142</v>
      </c>
      <c r="P499" s="11">
        <v>27259872</v>
      </c>
      <c r="Q499" s="11">
        <f>jewels[[#This Row],[Total Sales Value]]-jewels[[#This Row],[Cost Per Unit]]</f>
        <v>7788534.8571428582</v>
      </c>
      <c r="R499" s="13">
        <f>jewels[[#This Row],[Profit]]/jewels[[#This Row],[Cost Per Unit]]</f>
        <v>0.40000000000000008</v>
      </c>
    </row>
    <row r="500" spans="1:18" x14ac:dyDescent="0.25">
      <c r="A500" s="3">
        <v>499</v>
      </c>
      <c r="B500" s="4">
        <v>44143</v>
      </c>
      <c r="C500" s="3">
        <v>2020</v>
      </c>
      <c r="D500" s="3">
        <v>11</v>
      </c>
      <c r="E500" s="5" t="s">
        <v>58</v>
      </c>
      <c r="F500" s="3">
        <v>289</v>
      </c>
      <c r="G500" s="5" t="s">
        <v>59</v>
      </c>
      <c r="H500" s="5" t="s">
        <v>56</v>
      </c>
      <c r="I500" s="5" t="s">
        <v>39</v>
      </c>
      <c r="J500" s="5" t="s">
        <v>30</v>
      </c>
      <c r="K500" s="3">
        <v>92</v>
      </c>
      <c r="L500" s="11">
        <f>jewels[[#This Row],[Unit Price]]/(1+40%)</f>
        <v>5624511.4285714291</v>
      </c>
      <c r="M500" s="11">
        <v>7874316</v>
      </c>
      <c r="N500" s="3">
        <v>6</v>
      </c>
      <c r="O500" s="11">
        <f>jewels[[#This Row],[Cost ]]*jewels[[#This Row],[Sales_Qty]]</f>
        <v>33747068.571428575</v>
      </c>
      <c r="P500" s="11">
        <v>47245896</v>
      </c>
      <c r="Q500" s="11">
        <f>jewels[[#This Row],[Total Sales Value]]-jewels[[#This Row],[Cost Per Unit]]</f>
        <v>13498827.428571425</v>
      </c>
      <c r="R500" s="13">
        <f>jewels[[#This Row],[Profit]]/jewels[[#This Row],[Cost Per Unit]]</f>
        <v>0.39999999999999986</v>
      </c>
    </row>
    <row r="501" spans="1:18" x14ac:dyDescent="0.25">
      <c r="A501" s="3">
        <v>500</v>
      </c>
      <c r="B501" s="4">
        <v>44374</v>
      </c>
      <c r="C501" s="3">
        <v>2021</v>
      </c>
      <c r="D501" s="3">
        <v>6</v>
      </c>
      <c r="E501" s="5" t="s">
        <v>14</v>
      </c>
      <c r="F501" s="3">
        <v>286</v>
      </c>
      <c r="G501" s="5" t="s">
        <v>38</v>
      </c>
      <c r="H501" s="5" t="s">
        <v>35</v>
      </c>
      <c r="I501" s="5" t="s">
        <v>29</v>
      </c>
      <c r="J501" s="5" t="s">
        <v>44</v>
      </c>
      <c r="K501" s="3">
        <v>77</v>
      </c>
      <c r="L501" s="11">
        <f>jewels[[#This Row],[Unit Price]]/(1+40%)</f>
        <v>6545246.4285714291</v>
      </c>
      <c r="M501" s="11">
        <v>9163345</v>
      </c>
      <c r="N501" s="3">
        <v>1</v>
      </c>
      <c r="O501" s="11">
        <f>jewels[[#This Row],[Cost ]]*jewels[[#This Row],[Sales_Qty]]</f>
        <v>6545246.4285714291</v>
      </c>
      <c r="P501" s="11">
        <v>9163345</v>
      </c>
      <c r="Q501" s="11">
        <f>jewels[[#This Row],[Total Sales Value]]-jewels[[#This Row],[Cost Per Unit]]</f>
        <v>2618098.5714285709</v>
      </c>
      <c r="R501" s="13">
        <f>jewels[[#This Row],[Profit]]/jewels[[#This Row],[Cost Per Unit]]</f>
        <v>0.39999999999999991</v>
      </c>
    </row>
  </sheetData>
  <sheetProtection algorithmName="SHA-512" hashValue="kcpUS6ICTYYeJggPIplGXPssYQKOKEri5ut+I7srgK0UJDGgB9C745BR4CzbGGRASn9mFZdWCWi+C51+x2nRaA==" saltValue="6+otjtAcMARdgsWZkMN5Dg==" spinCount="100000" sheet="1" formatCells="0" formatColumns="0" formatRows="0" insertColumns="0" insertRows="0" insertHyperlinks="0" deleteColumns="0" deleteRows="0" sort="0" autoFilter="0" pivotTables="0"/>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395E3-2590-413A-B33E-4CDF8AA6265E}">
  <dimension ref="A1:A1462"/>
  <sheetViews>
    <sheetView workbookViewId="0">
      <selection sqref="A1:A1462"/>
    </sheetView>
  </sheetViews>
  <sheetFormatPr defaultRowHeight="15" x14ac:dyDescent="0.25"/>
  <cols>
    <col min="1" max="1" width="14.5703125" style="1" bestFit="1" customWidth="1"/>
  </cols>
  <sheetData>
    <row r="1" spans="1:1" x14ac:dyDescent="0.25">
      <c r="A1" s="1" t="s">
        <v>86</v>
      </c>
    </row>
    <row r="2" spans="1:1" x14ac:dyDescent="0.25">
      <c r="A2" s="1">
        <v>43922</v>
      </c>
    </row>
    <row r="3" spans="1:1" x14ac:dyDescent="0.25">
      <c r="A3" s="1">
        <v>43923</v>
      </c>
    </row>
    <row r="4" spans="1:1" x14ac:dyDescent="0.25">
      <c r="A4" s="1">
        <v>43924</v>
      </c>
    </row>
    <row r="5" spans="1:1" x14ac:dyDescent="0.25">
      <c r="A5" s="1">
        <v>43925</v>
      </c>
    </row>
    <row r="6" spans="1:1" x14ac:dyDescent="0.25">
      <c r="A6" s="1">
        <v>43926</v>
      </c>
    </row>
    <row r="7" spans="1:1" x14ac:dyDescent="0.25">
      <c r="A7" s="1">
        <v>43927</v>
      </c>
    </row>
    <row r="8" spans="1:1" x14ac:dyDescent="0.25">
      <c r="A8" s="1">
        <v>43928</v>
      </c>
    </row>
    <row r="9" spans="1:1" x14ac:dyDescent="0.25">
      <c r="A9" s="1">
        <v>43929</v>
      </c>
    </row>
    <row r="10" spans="1:1" x14ac:dyDescent="0.25">
      <c r="A10" s="1">
        <v>43930</v>
      </c>
    </row>
    <row r="11" spans="1:1" x14ac:dyDescent="0.25">
      <c r="A11" s="1">
        <v>43931</v>
      </c>
    </row>
    <row r="12" spans="1:1" x14ac:dyDescent="0.25">
      <c r="A12" s="1">
        <v>43932</v>
      </c>
    </row>
    <row r="13" spans="1:1" x14ac:dyDescent="0.25">
      <c r="A13" s="1">
        <v>43933</v>
      </c>
    </row>
    <row r="14" spans="1:1" x14ac:dyDescent="0.25">
      <c r="A14" s="1">
        <v>43934</v>
      </c>
    </row>
    <row r="15" spans="1:1" x14ac:dyDescent="0.25">
      <c r="A15" s="1">
        <v>43935</v>
      </c>
    </row>
    <row r="16" spans="1:1" x14ac:dyDescent="0.25">
      <c r="A16" s="1">
        <v>43936</v>
      </c>
    </row>
    <row r="17" spans="1:1" x14ac:dyDescent="0.25">
      <c r="A17" s="1">
        <v>43937</v>
      </c>
    </row>
    <row r="18" spans="1:1" x14ac:dyDescent="0.25">
      <c r="A18" s="1">
        <v>43938</v>
      </c>
    </row>
    <row r="19" spans="1:1" x14ac:dyDescent="0.25">
      <c r="A19" s="1">
        <v>43939</v>
      </c>
    </row>
    <row r="20" spans="1:1" x14ac:dyDescent="0.25">
      <c r="A20" s="1">
        <v>43940</v>
      </c>
    </row>
    <row r="21" spans="1:1" x14ac:dyDescent="0.25">
      <c r="A21" s="1">
        <v>43941</v>
      </c>
    </row>
    <row r="22" spans="1:1" x14ac:dyDescent="0.25">
      <c r="A22" s="1">
        <v>43942</v>
      </c>
    </row>
    <row r="23" spans="1:1" x14ac:dyDescent="0.25">
      <c r="A23" s="1">
        <v>43943</v>
      </c>
    </row>
    <row r="24" spans="1:1" x14ac:dyDescent="0.25">
      <c r="A24" s="1">
        <v>43944</v>
      </c>
    </row>
    <row r="25" spans="1:1" x14ac:dyDescent="0.25">
      <c r="A25" s="1">
        <v>43945</v>
      </c>
    </row>
    <row r="26" spans="1:1" x14ac:dyDescent="0.25">
      <c r="A26" s="1">
        <v>43946</v>
      </c>
    </row>
    <row r="27" spans="1:1" x14ac:dyDescent="0.25">
      <c r="A27" s="1">
        <v>43947</v>
      </c>
    </row>
    <row r="28" spans="1:1" x14ac:dyDescent="0.25">
      <c r="A28" s="1">
        <v>43948</v>
      </c>
    </row>
    <row r="29" spans="1:1" x14ac:dyDescent="0.25">
      <c r="A29" s="1">
        <v>43949</v>
      </c>
    </row>
    <row r="30" spans="1:1" x14ac:dyDescent="0.25">
      <c r="A30" s="1">
        <v>43950</v>
      </c>
    </row>
    <row r="31" spans="1:1" x14ac:dyDescent="0.25">
      <c r="A31" s="1">
        <v>43951</v>
      </c>
    </row>
    <row r="32" spans="1:1" x14ac:dyDescent="0.25">
      <c r="A32" s="1">
        <v>43952</v>
      </c>
    </row>
    <row r="33" spans="1:1" x14ac:dyDescent="0.25">
      <c r="A33" s="1">
        <v>43953</v>
      </c>
    </row>
    <row r="34" spans="1:1" x14ac:dyDescent="0.25">
      <c r="A34" s="1">
        <v>43954</v>
      </c>
    </row>
    <row r="35" spans="1:1" x14ac:dyDescent="0.25">
      <c r="A35" s="1">
        <v>43955</v>
      </c>
    </row>
    <row r="36" spans="1:1" x14ac:dyDescent="0.25">
      <c r="A36" s="1">
        <v>43956</v>
      </c>
    </row>
    <row r="37" spans="1:1" x14ac:dyDescent="0.25">
      <c r="A37" s="1">
        <v>43957</v>
      </c>
    </row>
    <row r="38" spans="1:1" x14ac:dyDescent="0.25">
      <c r="A38" s="1">
        <v>43958</v>
      </c>
    </row>
    <row r="39" spans="1:1" x14ac:dyDescent="0.25">
      <c r="A39" s="1">
        <v>43959</v>
      </c>
    </row>
    <row r="40" spans="1:1" x14ac:dyDescent="0.25">
      <c r="A40" s="1">
        <v>43960</v>
      </c>
    </row>
    <row r="41" spans="1:1" x14ac:dyDescent="0.25">
      <c r="A41" s="1">
        <v>43961</v>
      </c>
    </row>
    <row r="42" spans="1:1" x14ac:dyDescent="0.25">
      <c r="A42" s="1">
        <v>43962</v>
      </c>
    </row>
    <row r="43" spans="1:1" x14ac:dyDescent="0.25">
      <c r="A43" s="1">
        <v>43963</v>
      </c>
    </row>
    <row r="44" spans="1:1" x14ac:dyDescent="0.25">
      <c r="A44" s="1">
        <v>43964</v>
      </c>
    </row>
    <row r="45" spans="1:1" x14ac:dyDescent="0.25">
      <c r="A45" s="1">
        <v>43965</v>
      </c>
    </row>
    <row r="46" spans="1:1" x14ac:dyDescent="0.25">
      <c r="A46" s="1">
        <v>43966</v>
      </c>
    </row>
    <row r="47" spans="1:1" x14ac:dyDescent="0.25">
      <c r="A47" s="1">
        <v>43967</v>
      </c>
    </row>
    <row r="48" spans="1:1" x14ac:dyDescent="0.25">
      <c r="A48" s="1">
        <v>43968</v>
      </c>
    </row>
    <row r="49" spans="1:1" x14ac:dyDescent="0.25">
      <c r="A49" s="1">
        <v>43969</v>
      </c>
    </row>
    <row r="50" spans="1:1" x14ac:dyDescent="0.25">
      <c r="A50" s="1">
        <v>43970</v>
      </c>
    </row>
    <row r="51" spans="1:1" x14ac:dyDescent="0.25">
      <c r="A51" s="1">
        <v>43971</v>
      </c>
    </row>
    <row r="52" spans="1:1" x14ac:dyDescent="0.25">
      <c r="A52" s="1">
        <v>43972</v>
      </c>
    </row>
    <row r="53" spans="1:1" x14ac:dyDescent="0.25">
      <c r="A53" s="1">
        <v>43973</v>
      </c>
    </row>
    <row r="54" spans="1:1" x14ac:dyDescent="0.25">
      <c r="A54" s="1">
        <v>43974</v>
      </c>
    </row>
    <row r="55" spans="1:1" x14ac:dyDescent="0.25">
      <c r="A55" s="1">
        <v>43975</v>
      </c>
    </row>
    <row r="56" spans="1:1" x14ac:dyDescent="0.25">
      <c r="A56" s="1">
        <v>43976</v>
      </c>
    </row>
    <row r="57" spans="1:1" x14ac:dyDescent="0.25">
      <c r="A57" s="1">
        <v>43977</v>
      </c>
    </row>
    <row r="58" spans="1:1" x14ac:dyDescent="0.25">
      <c r="A58" s="1">
        <v>43978</v>
      </c>
    </row>
    <row r="59" spans="1:1" x14ac:dyDescent="0.25">
      <c r="A59" s="1">
        <v>43979</v>
      </c>
    </row>
    <row r="60" spans="1:1" x14ac:dyDescent="0.25">
      <c r="A60" s="1">
        <v>43980</v>
      </c>
    </row>
    <row r="61" spans="1:1" x14ac:dyDescent="0.25">
      <c r="A61" s="1">
        <v>43981</v>
      </c>
    </row>
    <row r="62" spans="1:1" x14ac:dyDescent="0.25">
      <c r="A62" s="1">
        <v>43982</v>
      </c>
    </row>
    <row r="63" spans="1:1" x14ac:dyDescent="0.25">
      <c r="A63" s="1">
        <v>43983</v>
      </c>
    </row>
    <row r="64" spans="1:1" x14ac:dyDescent="0.25">
      <c r="A64" s="1">
        <v>43984</v>
      </c>
    </row>
    <row r="65" spans="1:1" x14ac:dyDescent="0.25">
      <c r="A65" s="1">
        <v>43985</v>
      </c>
    </row>
    <row r="66" spans="1:1" x14ac:dyDescent="0.25">
      <c r="A66" s="1">
        <v>43986</v>
      </c>
    </row>
    <row r="67" spans="1:1" x14ac:dyDescent="0.25">
      <c r="A67" s="1">
        <v>43987</v>
      </c>
    </row>
    <row r="68" spans="1:1" x14ac:dyDescent="0.25">
      <c r="A68" s="1">
        <v>43988</v>
      </c>
    </row>
    <row r="69" spans="1:1" x14ac:dyDescent="0.25">
      <c r="A69" s="1">
        <v>43989</v>
      </c>
    </row>
    <row r="70" spans="1:1" x14ac:dyDescent="0.25">
      <c r="A70" s="1">
        <v>43990</v>
      </c>
    </row>
    <row r="71" spans="1:1" x14ac:dyDescent="0.25">
      <c r="A71" s="1">
        <v>43991</v>
      </c>
    </row>
    <row r="72" spans="1:1" x14ac:dyDescent="0.25">
      <c r="A72" s="1">
        <v>43992</v>
      </c>
    </row>
    <row r="73" spans="1:1" x14ac:dyDescent="0.25">
      <c r="A73" s="1">
        <v>43993</v>
      </c>
    </row>
    <row r="74" spans="1:1" x14ac:dyDescent="0.25">
      <c r="A74" s="1">
        <v>43994</v>
      </c>
    </row>
    <row r="75" spans="1:1" x14ac:dyDescent="0.25">
      <c r="A75" s="1">
        <v>43995</v>
      </c>
    </row>
    <row r="76" spans="1:1" x14ac:dyDescent="0.25">
      <c r="A76" s="1">
        <v>43996</v>
      </c>
    </row>
    <row r="77" spans="1:1" x14ac:dyDescent="0.25">
      <c r="A77" s="1">
        <v>43997</v>
      </c>
    </row>
    <row r="78" spans="1:1" x14ac:dyDescent="0.25">
      <c r="A78" s="1">
        <v>43998</v>
      </c>
    </row>
    <row r="79" spans="1:1" x14ac:dyDescent="0.25">
      <c r="A79" s="1">
        <v>43999</v>
      </c>
    </row>
    <row r="80" spans="1:1" x14ac:dyDescent="0.25">
      <c r="A80" s="1">
        <v>44000</v>
      </c>
    </row>
    <row r="81" spans="1:1" x14ac:dyDescent="0.25">
      <c r="A81" s="1">
        <v>44001</v>
      </c>
    </row>
    <row r="82" spans="1:1" x14ac:dyDescent="0.25">
      <c r="A82" s="1">
        <v>44002</v>
      </c>
    </row>
    <row r="83" spans="1:1" x14ac:dyDescent="0.25">
      <c r="A83" s="1">
        <v>44003</v>
      </c>
    </row>
    <row r="84" spans="1:1" x14ac:dyDescent="0.25">
      <c r="A84" s="1">
        <v>44004</v>
      </c>
    </row>
    <row r="85" spans="1:1" x14ac:dyDescent="0.25">
      <c r="A85" s="1">
        <v>44005</v>
      </c>
    </row>
    <row r="86" spans="1:1" x14ac:dyDescent="0.25">
      <c r="A86" s="1">
        <v>44006</v>
      </c>
    </row>
    <row r="87" spans="1:1" x14ac:dyDescent="0.25">
      <c r="A87" s="1">
        <v>44007</v>
      </c>
    </row>
    <row r="88" spans="1:1" x14ac:dyDescent="0.25">
      <c r="A88" s="1">
        <v>44008</v>
      </c>
    </row>
    <row r="89" spans="1:1" x14ac:dyDescent="0.25">
      <c r="A89" s="1">
        <v>44009</v>
      </c>
    </row>
    <row r="90" spans="1:1" x14ac:dyDescent="0.25">
      <c r="A90" s="1">
        <v>44010</v>
      </c>
    </row>
    <row r="91" spans="1:1" x14ac:dyDescent="0.25">
      <c r="A91" s="1">
        <v>44011</v>
      </c>
    </row>
    <row r="92" spans="1:1" x14ac:dyDescent="0.25">
      <c r="A92" s="1">
        <v>44012</v>
      </c>
    </row>
    <row r="93" spans="1:1" x14ac:dyDescent="0.25">
      <c r="A93" s="1">
        <v>44013</v>
      </c>
    </row>
    <row r="94" spans="1:1" x14ac:dyDescent="0.25">
      <c r="A94" s="1">
        <v>44014</v>
      </c>
    </row>
    <row r="95" spans="1:1" x14ac:dyDescent="0.25">
      <c r="A95" s="1">
        <v>44015</v>
      </c>
    </row>
    <row r="96" spans="1:1" x14ac:dyDescent="0.25">
      <c r="A96" s="1">
        <v>44016</v>
      </c>
    </row>
    <row r="97" spans="1:1" x14ac:dyDescent="0.25">
      <c r="A97" s="1">
        <v>44017</v>
      </c>
    </row>
    <row r="98" spans="1:1" x14ac:dyDescent="0.25">
      <c r="A98" s="1">
        <v>44018</v>
      </c>
    </row>
    <row r="99" spans="1:1" x14ac:dyDescent="0.25">
      <c r="A99" s="1">
        <v>44019</v>
      </c>
    </row>
    <row r="100" spans="1:1" x14ac:dyDescent="0.25">
      <c r="A100" s="1">
        <v>44020</v>
      </c>
    </row>
    <row r="101" spans="1:1" x14ac:dyDescent="0.25">
      <c r="A101" s="1">
        <v>44021</v>
      </c>
    </row>
    <row r="102" spans="1:1" x14ac:dyDescent="0.25">
      <c r="A102" s="1">
        <v>44022</v>
      </c>
    </row>
    <row r="103" spans="1:1" x14ac:dyDescent="0.25">
      <c r="A103" s="1">
        <v>44023</v>
      </c>
    </row>
    <row r="104" spans="1:1" x14ac:dyDescent="0.25">
      <c r="A104" s="1">
        <v>44024</v>
      </c>
    </row>
    <row r="105" spans="1:1" x14ac:dyDescent="0.25">
      <c r="A105" s="1">
        <v>44025</v>
      </c>
    </row>
    <row r="106" spans="1:1" x14ac:dyDescent="0.25">
      <c r="A106" s="1">
        <v>44026</v>
      </c>
    </row>
    <row r="107" spans="1:1" x14ac:dyDescent="0.25">
      <c r="A107" s="1">
        <v>44027</v>
      </c>
    </row>
    <row r="108" spans="1:1" x14ac:dyDescent="0.25">
      <c r="A108" s="1">
        <v>44028</v>
      </c>
    </row>
    <row r="109" spans="1:1" x14ac:dyDescent="0.25">
      <c r="A109" s="1">
        <v>44029</v>
      </c>
    </row>
    <row r="110" spans="1:1" x14ac:dyDescent="0.25">
      <c r="A110" s="1">
        <v>44030</v>
      </c>
    </row>
    <row r="111" spans="1:1" x14ac:dyDescent="0.25">
      <c r="A111" s="1">
        <v>44031</v>
      </c>
    </row>
    <row r="112" spans="1:1" x14ac:dyDescent="0.25">
      <c r="A112" s="1">
        <v>44032</v>
      </c>
    </row>
    <row r="113" spans="1:1" x14ac:dyDescent="0.25">
      <c r="A113" s="1">
        <v>44033</v>
      </c>
    </row>
    <row r="114" spans="1:1" x14ac:dyDescent="0.25">
      <c r="A114" s="1">
        <v>44034</v>
      </c>
    </row>
    <row r="115" spans="1:1" x14ac:dyDescent="0.25">
      <c r="A115" s="1">
        <v>44035</v>
      </c>
    </row>
    <row r="116" spans="1:1" x14ac:dyDescent="0.25">
      <c r="A116" s="1">
        <v>44036</v>
      </c>
    </row>
    <row r="117" spans="1:1" x14ac:dyDescent="0.25">
      <c r="A117" s="1">
        <v>44037</v>
      </c>
    </row>
    <row r="118" spans="1:1" x14ac:dyDescent="0.25">
      <c r="A118" s="1">
        <v>44038</v>
      </c>
    </row>
    <row r="119" spans="1:1" x14ac:dyDescent="0.25">
      <c r="A119" s="1">
        <v>44039</v>
      </c>
    </row>
    <row r="120" spans="1:1" x14ac:dyDescent="0.25">
      <c r="A120" s="1">
        <v>44040</v>
      </c>
    </row>
    <row r="121" spans="1:1" x14ac:dyDescent="0.25">
      <c r="A121" s="1">
        <v>44041</v>
      </c>
    </row>
    <row r="122" spans="1:1" x14ac:dyDescent="0.25">
      <c r="A122" s="1">
        <v>44042</v>
      </c>
    </row>
    <row r="123" spans="1:1" x14ac:dyDescent="0.25">
      <c r="A123" s="1">
        <v>44043</v>
      </c>
    </row>
    <row r="124" spans="1:1" x14ac:dyDescent="0.25">
      <c r="A124" s="1">
        <v>44044</v>
      </c>
    </row>
    <row r="125" spans="1:1" x14ac:dyDescent="0.25">
      <c r="A125" s="1">
        <v>44045</v>
      </c>
    </row>
    <row r="126" spans="1:1" x14ac:dyDescent="0.25">
      <c r="A126" s="1">
        <v>44046</v>
      </c>
    </row>
    <row r="127" spans="1:1" x14ac:dyDescent="0.25">
      <c r="A127" s="1">
        <v>44047</v>
      </c>
    </row>
    <row r="128" spans="1:1" x14ac:dyDescent="0.25">
      <c r="A128" s="1">
        <v>44048</v>
      </c>
    </row>
    <row r="129" spans="1:1" x14ac:dyDescent="0.25">
      <c r="A129" s="1">
        <v>44049</v>
      </c>
    </row>
    <row r="130" spans="1:1" x14ac:dyDescent="0.25">
      <c r="A130" s="1">
        <v>44050</v>
      </c>
    </row>
    <row r="131" spans="1:1" x14ac:dyDescent="0.25">
      <c r="A131" s="1">
        <v>44051</v>
      </c>
    </row>
    <row r="132" spans="1:1" x14ac:dyDescent="0.25">
      <c r="A132" s="1">
        <v>44052</v>
      </c>
    </row>
    <row r="133" spans="1:1" x14ac:dyDescent="0.25">
      <c r="A133" s="1">
        <v>44053</v>
      </c>
    </row>
    <row r="134" spans="1:1" x14ac:dyDescent="0.25">
      <c r="A134" s="1">
        <v>44054</v>
      </c>
    </row>
    <row r="135" spans="1:1" x14ac:dyDescent="0.25">
      <c r="A135" s="1">
        <v>44055</v>
      </c>
    </row>
    <row r="136" spans="1:1" x14ac:dyDescent="0.25">
      <c r="A136" s="1">
        <v>44056</v>
      </c>
    </row>
    <row r="137" spans="1:1" x14ac:dyDescent="0.25">
      <c r="A137" s="1">
        <v>44057</v>
      </c>
    </row>
    <row r="138" spans="1:1" x14ac:dyDescent="0.25">
      <c r="A138" s="1">
        <v>44058</v>
      </c>
    </row>
    <row r="139" spans="1:1" x14ac:dyDescent="0.25">
      <c r="A139" s="1">
        <v>44059</v>
      </c>
    </row>
    <row r="140" spans="1:1" x14ac:dyDescent="0.25">
      <c r="A140" s="1">
        <v>44060</v>
      </c>
    </row>
    <row r="141" spans="1:1" x14ac:dyDescent="0.25">
      <c r="A141" s="1">
        <v>44061</v>
      </c>
    </row>
    <row r="142" spans="1:1" x14ac:dyDescent="0.25">
      <c r="A142" s="1">
        <v>44062</v>
      </c>
    </row>
    <row r="143" spans="1:1" x14ac:dyDescent="0.25">
      <c r="A143" s="1">
        <v>44063</v>
      </c>
    </row>
    <row r="144" spans="1:1" x14ac:dyDescent="0.25">
      <c r="A144" s="1">
        <v>44064</v>
      </c>
    </row>
    <row r="145" spans="1:1" x14ac:dyDescent="0.25">
      <c r="A145" s="1">
        <v>44065</v>
      </c>
    </row>
    <row r="146" spans="1:1" x14ac:dyDescent="0.25">
      <c r="A146" s="1">
        <v>44066</v>
      </c>
    </row>
    <row r="147" spans="1:1" x14ac:dyDescent="0.25">
      <c r="A147" s="1">
        <v>44067</v>
      </c>
    </row>
    <row r="148" spans="1:1" x14ac:dyDescent="0.25">
      <c r="A148" s="1">
        <v>44068</v>
      </c>
    </row>
    <row r="149" spans="1:1" x14ac:dyDescent="0.25">
      <c r="A149" s="1">
        <v>44069</v>
      </c>
    </row>
    <row r="150" spans="1:1" x14ac:dyDescent="0.25">
      <c r="A150" s="1">
        <v>44070</v>
      </c>
    </row>
    <row r="151" spans="1:1" x14ac:dyDescent="0.25">
      <c r="A151" s="1">
        <v>44071</v>
      </c>
    </row>
    <row r="152" spans="1:1" x14ac:dyDescent="0.25">
      <c r="A152" s="1">
        <v>44072</v>
      </c>
    </row>
    <row r="153" spans="1:1" x14ac:dyDescent="0.25">
      <c r="A153" s="1">
        <v>44073</v>
      </c>
    </row>
    <row r="154" spans="1:1" x14ac:dyDescent="0.25">
      <c r="A154" s="1">
        <v>44074</v>
      </c>
    </row>
    <row r="155" spans="1:1" x14ac:dyDescent="0.25">
      <c r="A155" s="1">
        <v>44075</v>
      </c>
    </row>
    <row r="156" spans="1:1" x14ac:dyDescent="0.25">
      <c r="A156" s="1">
        <v>44076</v>
      </c>
    </row>
    <row r="157" spans="1:1" x14ac:dyDescent="0.25">
      <c r="A157" s="1">
        <v>44077</v>
      </c>
    </row>
    <row r="158" spans="1:1" x14ac:dyDescent="0.25">
      <c r="A158" s="1">
        <v>44078</v>
      </c>
    </row>
    <row r="159" spans="1:1" x14ac:dyDescent="0.25">
      <c r="A159" s="1">
        <v>44079</v>
      </c>
    </row>
    <row r="160" spans="1:1" x14ac:dyDescent="0.25">
      <c r="A160" s="1">
        <v>44080</v>
      </c>
    </row>
    <row r="161" spans="1:1" x14ac:dyDescent="0.25">
      <c r="A161" s="1">
        <v>44081</v>
      </c>
    </row>
    <row r="162" spans="1:1" x14ac:dyDescent="0.25">
      <c r="A162" s="1">
        <v>44082</v>
      </c>
    </row>
    <row r="163" spans="1:1" x14ac:dyDescent="0.25">
      <c r="A163" s="1">
        <v>44083</v>
      </c>
    </row>
    <row r="164" spans="1:1" x14ac:dyDescent="0.25">
      <c r="A164" s="1">
        <v>44084</v>
      </c>
    </row>
    <row r="165" spans="1:1" x14ac:dyDescent="0.25">
      <c r="A165" s="1">
        <v>44085</v>
      </c>
    </row>
    <row r="166" spans="1:1" x14ac:dyDescent="0.25">
      <c r="A166" s="1">
        <v>44086</v>
      </c>
    </row>
    <row r="167" spans="1:1" x14ac:dyDescent="0.25">
      <c r="A167" s="1">
        <v>44087</v>
      </c>
    </row>
    <row r="168" spans="1:1" x14ac:dyDescent="0.25">
      <c r="A168" s="1">
        <v>44088</v>
      </c>
    </row>
    <row r="169" spans="1:1" x14ac:dyDescent="0.25">
      <c r="A169" s="1">
        <v>44089</v>
      </c>
    </row>
    <row r="170" spans="1:1" x14ac:dyDescent="0.25">
      <c r="A170" s="1">
        <v>44090</v>
      </c>
    </row>
    <row r="171" spans="1:1" x14ac:dyDescent="0.25">
      <c r="A171" s="1">
        <v>44091</v>
      </c>
    </row>
    <row r="172" spans="1:1" x14ac:dyDescent="0.25">
      <c r="A172" s="1">
        <v>44092</v>
      </c>
    </row>
    <row r="173" spans="1:1" x14ac:dyDescent="0.25">
      <c r="A173" s="1">
        <v>44093</v>
      </c>
    </row>
    <row r="174" spans="1:1" x14ac:dyDescent="0.25">
      <c r="A174" s="1">
        <v>44094</v>
      </c>
    </row>
    <row r="175" spans="1:1" x14ac:dyDescent="0.25">
      <c r="A175" s="1">
        <v>44095</v>
      </c>
    </row>
    <row r="176" spans="1:1" x14ac:dyDescent="0.25">
      <c r="A176" s="1">
        <v>44096</v>
      </c>
    </row>
    <row r="177" spans="1:1" x14ac:dyDescent="0.25">
      <c r="A177" s="1">
        <v>44097</v>
      </c>
    </row>
    <row r="178" spans="1:1" x14ac:dyDescent="0.25">
      <c r="A178" s="1">
        <v>44098</v>
      </c>
    </row>
    <row r="179" spans="1:1" x14ac:dyDescent="0.25">
      <c r="A179" s="1">
        <v>44099</v>
      </c>
    </row>
    <row r="180" spans="1:1" x14ac:dyDescent="0.25">
      <c r="A180" s="1">
        <v>44100</v>
      </c>
    </row>
    <row r="181" spans="1:1" x14ac:dyDescent="0.25">
      <c r="A181" s="1">
        <v>44101</v>
      </c>
    </row>
    <row r="182" spans="1:1" x14ac:dyDescent="0.25">
      <c r="A182" s="1">
        <v>44102</v>
      </c>
    </row>
    <row r="183" spans="1:1" x14ac:dyDescent="0.25">
      <c r="A183" s="1">
        <v>44103</v>
      </c>
    </row>
    <row r="184" spans="1:1" x14ac:dyDescent="0.25">
      <c r="A184" s="1">
        <v>44104</v>
      </c>
    </row>
    <row r="185" spans="1:1" x14ac:dyDescent="0.25">
      <c r="A185" s="1">
        <v>44105</v>
      </c>
    </row>
    <row r="186" spans="1:1" x14ac:dyDescent="0.25">
      <c r="A186" s="1">
        <v>44106</v>
      </c>
    </row>
    <row r="187" spans="1:1" x14ac:dyDescent="0.25">
      <c r="A187" s="1">
        <v>44107</v>
      </c>
    </row>
    <row r="188" spans="1:1" x14ac:dyDescent="0.25">
      <c r="A188" s="1">
        <v>44108</v>
      </c>
    </row>
    <row r="189" spans="1:1" x14ac:dyDescent="0.25">
      <c r="A189" s="1">
        <v>44109</v>
      </c>
    </row>
    <row r="190" spans="1:1" x14ac:dyDescent="0.25">
      <c r="A190" s="1">
        <v>44110</v>
      </c>
    </row>
    <row r="191" spans="1:1" x14ac:dyDescent="0.25">
      <c r="A191" s="1">
        <v>44111</v>
      </c>
    </row>
    <row r="192" spans="1:1" x14ac:dyDescent="0.25">
      <c r="A192" s="1">
        <v>44112</v>
      </c>
    </row>
    <row r="193" spans="1:1" x14ac:dyDescent="0.25">
      <c r="A193" s="1">
        <v>44113</v>
      </c>
    </row>
    <row r="194" spans="1:1" x14ac:dyDescent="0.25">
      <c r="A194" s="1">
        <v>44114</v>
      </c>
    </row>
    <row r="195" spans="1:1" x14ac:dyDescent="0.25">
      <c r="A195" s="1">
        <v>44115</v>
      </c>
    </row>
    <row r="196" spans="1:1" x14ac:dyDescent="0.25">
      <c r="A196" s="1">
        <v>44116</v>
      </c>
    </row>
    <row r="197" spans="1:1" x14ac:dyDescent="0.25">
      <c r="A197" s="1">
        <v>44117</v>
      </c>
    </row>
    <row r="198" spans="1:1" x14ac:dyDescent="0.25">
      <c r="A198" s="1">
        <v>44118</v>
      </c>
    </row>
    <row r="199" spans="1:1" x14ac:dyDescent="0.25">
      <c r="A199" s="1">
        <v>44119</v>
      </c>
    </row>
    <row r="200" spans="1:1" x14ac:dyDescent="0.25">
      <c r="A200" s="1">
        <v>44120</v>
      </c>
    </row>
    <row r="201" spans="1:1" x14ac:dyDescent="0.25">
      <c r="A201" s="1">
        <v>44121</v>
      </c>
    </row>
    <row r="202" spans="1:1" x14ac:dyDescent="0.25">
      <c r="A202" s="1">
        <v>44122</v>
      </c>
    </row>
    <row r="203" spans="1:1" x14ac:dyDescent="0.25">
      <c r="A203" s="1">
        <v>44123</v>
      </c>
    </row>
    <row r="204" spans="1:1" x14ac:dyDescent="0.25">
      <c r="A204" s="1">
        <v>44124</v>
      </c>
    </row>
    <row r="205" spans="1:1" x14ac:dyDescent="0.25">
      <c r="A205" s="1">
        <v>44125</v>
      </c>
    </row>
    <row r="206" spans="1:1" x14ac:dyDescent="0.25">
      <c r="A206" s="1">
        <v>44126</v>
      </c>
    </row>
    <row r="207" spans="1:1" x14ac:dyDescent="0.25">
      <c r="A207" s="1">
        <v>44127</v>
      </c>
    </row>
    <row r="208" spans="1:1" x14ac:dyDescent="0.25">
      <c r="A208" s="1">
        <v>44128</v>
      </c>
    </row>
    <row r="209" spans="1:1" x14ac:dyDescent="0.25">
      <c r="A209" s="1">
        <v>44129</v>
      </c>
    </row>
    <row r="210" spans="1:1" x14ac:dyDescent="0.25">
      <c r="A210" s="1">
        <v>44130</v>
      </c>
    </row>
    <row r="211" spans="1:1" x14ac:dyDescent="0.25">
      <c r="A211" s="1">
        <v>44131</v>
      </c>
    </row>
    <row r="212" spans="1:1" x14ac:dyDescent="0.25">
      <c r="A212" s="1">
        <v>44132</v>
      </c>
    </row>
    <row r="213" spans="1:1" x14ac:dyDescent="0.25">
      <c r="A213" s="1">
        <v>44133</v>
      </c>
    </row>
    <row r="214" spans="1:1" x14ac:dyDescent="0.25">
      <c r="A214" s="1">
        <v>44134</v>
      </c>
    </row>
    <row r="215" spans="1:1" x14ac:dyDescent="0.25">
      <c r="A215" s="1">
        <v>44135</v>
      </c>
    </row>
    <row r="216" spans="1:1" x14ac:dyDescent="0.25">
      <c r="A216" s="1">
        <v>44136</v>
      </c>
    </row>
    <row r="217" spans="1:1" x14ac:dyDescent="0.25">
      <c r="A217" s="1">
        <v>44137</v>
      </c>
    </row>
    <row r="218" spans="1:1" x14ac:dyDescent="0.25">
      <c r="A218" s="1">
        <v>44138</v>
      </c>
    </row>
    <row r="219" spans="1:1" x14ac:dyDescent="0.25">
      <c r="A219" s="1">
        <v>44139</v>
      </c>
    </row>
    <row r="220" spans="1:1" x14ac:dyDescent="0.25">
      <c r="A220" s="1">
        <v>44140</v>
      </c>
    </row>
    <row r="221" spans="1:1" x14ac:dyDescent="0.25">
      <c r="A221" s="1">
        <v>44141</v>
      </c>
    </row>
    <row r="222" spans="1:1" x14ac:dyDescent="0.25">
      <c r="A222" s="1">
        <v>44142</v>
      </c>
    </row>
    <row r="223" spans="1:1" x14ac:dyDescent="0.25">
      <c r="A223" s="1">
        <v>44143</v>
      </c>
    </row>
    <row r="224" spans="1:1" x14ac:dyDescent="0.25">
      <c r="A224" s="1">
        <v>44144</v>
      </c>
    </row>
    <row r="225" spans="1:1" x14ac:dyDescent="0.25">
      <c r="A225" s="1">
        <v>44145</v>
      </c>
    </row>
    <row r="226" spans="1:1" x14ac:dyDescent="0.25">
      <c r="A226" s="1">
        <v>44146</v>
      </c>
    </row>
    <row r="227" spans="1:1" x14ac:dyDescent="0.25">
      <c r="A227" s="1">
        <v>44147</v>
      </c>
    </row>
    <row r="228" spans="1:1" x14ac:dyDescent="0.25">
      <c r="A228" s="1">
        <v>44148</v>
      </c>
    </row>
    <row r="229" spans="1:1" x14ac:dyDescent="0.25">
      <c r="A229" s="1">
        <v>44149</v>
      </c>
    </row>
    <row r="230" spans="1:1" x14ac:dyDescent="0.25">
      <c r="A230" s="1">
        <v>44150</v>
      </c>
    </row>
    <row r="231" spans="1:1" x14ac:dyDescent="0.25">
      <c r="A231" s="1">
        <v>44151</v>
      </c>
    </row>
    <row r="232" spans="1:1" x14ac:dyDescent="0.25">
      <c r="A232" s="1">
        <v>44152</v>
      </c>
    </row>
    <row r="233" spans="1:1" x14ac:dyDescent="0.25">
      <c r="A233" s="1">
        <v>44153</v>
      </c>
    </row>
    <row r="234" spans="1:1" x14ac:dyDescent="0.25">
      <c r="A234" s="1">
        <v>44154</v>
      </c>
    </row>
    <row r="235" spans="1:1" x14ac:dyDescent="0.25">
      <c r="A235" s="1">
        <v>44155</v>
      </c>
    </row>
    <row r="236" spans="1:1" x14ac:dyDescent="0.25">
      <c r="A236" s="1">
        <v>44156</v>
      </c>
    </row>
    <row r="237" spans="1:1" x14ac:dyDescent="0.25">
      <c r="A237" s="1">
        <v>44157</v>
      </c>
    </row>
    <row r="238" spans="1:1" x14ac:dyDescent="0.25">
      <c r="A238" s="1">
        <v>44158</v>
      </c>
    </row>
    <row r="239" spans="1:1" x14ac:dyDescent="0.25">
      <c r="A239" s="1">
        <v>44159</v>
      </c>
    </row>
    <row r="240" spans="1:1" x14ac:dyDescent="0.25">
      <c r="A240" s="1">
        <v>44160</v>
      </c>
    </row>
    <row r="241" spans="1:1" x14ac:dyDescent="0.25">
      <c r="A241" s="1">
        <v>44161</v>
      </c>
    </row>
    <row r="242" spans="1:1" x14ac:dyDescent="0.25">
      <c r="A242" s="1">
        <v>44162</v>
      </c>
    </row>
    <row r="243" spans="1:1" x14ac:dyDescent="0.25">
      <c r="A243" s="1">
        <v>44163</v>
      </c>
    </row>
    <row r="244" spans="1:1" x14ac:dyDescent="0.25">
      <c r="A244" s="1">
        <v>44164</v>
      </c>
    </row>
    <row r="245" spans="1:1" x14ac:dyDescent="0.25">
      <c r="A245" s="1">
        <v>44165</v>
      </c>
    </row>
    <row r="246" spans="1:1" x14ac:dyDescent="0.25">
      <c r="A246" s="1">
        <v>44166</v>
      </c>
    </row>
    <row r="247" spans="1:1" x14ac:dyDescent="0.25">
      <c r="A247" s="1">
        <v>44167</v>
      </c>
    </row>
    <row r="248" spans="1:1" x14ac:dyDescent="0.25">
      <c r="A248" s="1">
        <v>44168</v>
      </c>
    </row>
    <row r="249" spans="1:1" x14ac:dyDescent="0.25">
      <c r="A249" s="1">
        <v>44169</v>
      </c>
    </row>
    <row r="250" spans="1:1" x14ac:dyDescent="0.25">
      <c r="A250" s="1">
        <v>44170</v>
      </c>
    </row>
    <row r="251" spans="1:1" x14ac:dyDescent="0.25">
      <c r="A251" s="1">
        <v>44171</v>
      </c>
    </row>
    <row r="252" spans="1:1" x14ac:dyDescent="0.25">
      <c r="A252" s="1">
        <v>44172</v>
      </c>
    </row>
    <row r="253" spans="1:1" x14ac:dyDescent="0.25">
      <c r="A253" s="1">
        <v>44173</v>
      </c>
    </row>
    <row r="254" spans="1:1" x14ac:dyDescent="0.25">
      <c r="A254" s="1">
        <v>44174</v>
      </c>
    </row>
    <row r="255" spans="1:1" x14ac:dyDescent="0.25">
      <c r="A255" s="1">
        <v>44175</v>
      </c>
    </row>
    <row r="256" spans="1:1" x14ac:dyDescent="0.25">
      <c r="A256" s="1">
        <v>44176</v>
      </c>
    </row>
    <row r="257" spans="1:1" x14ac:dyDescent="0.25">
      <c r="A257" s="1">
        <v>44177</v>
      </c>
    </row>
    <row r="258" spans="1:1" x14ac:dyDescent="0.25">
      <c r="A258" s="1">
        <v>44178</v>
      </c>
    </row>
    <row r="259" spans="1:1" x14ac:dyDescent="0.25">
      <c r="A259" s="1">
        <v>44179</v>
      </c>
    </row>
    <row r="260" spans="1:1" x14ac:dyDescent="0.25">
      <c r="A260" s="1">
        <v>44180</v>
      </c>
    </row>
    <row r="261" spans="1:1" x14ac:dyDescent="0.25">
      <c r="A261" s="1">
        <v>44181</v>
      </c>
    </row>
    <row r="262" spans="1:1" x14ac:dyDescent="0.25">
      <c r="A262" s="1">
        <v>44182</v>
      </c>
    </row>
    <row r="263" spans="1:1" x14ac:dyDescent="0.25">
      <c r="A263" s="1">
        <v>44183</v>
      </c>
    </row>
    <row r="264" spans="1:1" x14ac:dyDescent="0.25">
      <c r="A264" s="1">
        <v>44184</v>
      </c>
    </row>
    <row r="265" spans="1:1" x14ac:dyDescent="0.25">
      <c r="A265" s="1">
        <v>44185</v>
      </c>
    </row>
    <row r="266" spans="1:1" x14ac:dyDescent="0.25">
      <c r="A266" s="1">
        <v>44186</v>
      </c>
    </row>
    <row r="267" spans="1:1" x14ac:dyDescent="0.25">
      <c r="A267" s="1">
        <v>44187</v>
      </c>
    </row>
    <row r="268" spans="1:1" x14ac:dyDescent="0.25">
      <c r="A268" s="1">
        <v>44188</v>
      </c>
    </row>
    <row r="269" spans="1:1" x14ac:dyDescent="0.25">
      <c r="A269" s="1">
        <v>44189</v>
      </c>
    </row>
    <row r="270" spans="1:1" x14ac:dyDescent="0.25">
      <c r="A270" s="1">
        <v>44190</v>
      </c>
    </row>
    <row r="271" spans="1:1" x14ac:dyDescent="0.25">
      <c r="A271" s="1">
        <v>44191</v>
      </c>
    </row>
    <row r="272" spans="1:1" x14ac:dyDescent="0.25">
      <c r="A272" s="1">
        <v>44192</v>
      </c>
    </row>
    <row r="273" spans="1:1" x14ac:dyDescent="0.25">
      <c r="A273" s="1">
        <v>44193</v>
      </c>
    </row>
    <row r="274" spans="1:1" x14ac:dyDescent="0.25">
      <c r="A274" s="1">
        <v>44194</v>
      </c>
    </row>
    <row r="275" spans="1:1" x14ac:dyDescent="0.25">
      <c r="A275" s="1">
        <v>44195</v>
      </c>
    </row>
    <row r="276" spans="1:1" x14ac:dyDescent="0.25">
      <c r="A276" s="1">
        <v>44196</v>
      </c>
    </row>
    <row r="277" spans="1:1" x14ac:dyDescent="0.25">
      <c r="A277" s="1">
        <v>44197</v>
      </c>
    </row>
    <row r="278" spans="1:1" x14ac:dyDescent="0.25">
      <c r="A278" s="1">
        <v>44198</v>
      </c>
    </row>
    <row r="279" spans="1:1" x14ac:dyDescent="0.25">
      <c r="A279" s="1">
        <v>44199</v>
      </c>
    </row>
    <row r="280" spans="1:1" x14ac:dyDescent="0.25">
      <c r="A280" s="1">
        <v>44200</v>
      </c>
    </row>
    <row r="281" spans="1:1" x14ac:dyDescent="0.25">
      <c r="A281" s="1">
        <v>44201</v>
      </c>
    </row>
    <row r="282" spans="1:1" x14ac:dyDescent="0.25">
      <c r="A282" s="1">
        <v>44202</v>
      </c>
    </row>
    <row r="283" spans="1:1" x14ac:dyDescent="0.25">
      <c r="A283" s="1">
        <v>44203</v>
      </c>
    </row>
    <row r="284" spans="1:1" x14ac:dyDescent="0.25">
      <c r="A284" s="1">
        <v>44204</v>
      </c>
    </row>
    <row r="285" spans="1:1" x14ac:dyDescent="0.25">
      <c r="A285" s="1">
        <v>44205</v>
      </c>
    </row>
    <row r="286" spans="1:1" x14ac:dyDescent="0.25">
      <c r="A286" s="1">
        <v>44206</v>
      </c>
    </row>
    <row r="287" spans="1:1" x14ac:dyDescent="0.25">
      <c r="A287" s="1">
        <v>44207</v>
      </c>
    </row>
    <row r="288" spans="1:1" x14ac:dyDescent="0.25">
      <c r="A288" s="1">
        <v>44208</v>
      </c>
    </row>
    <row r="289" spans="1:1" x14ac:dyDescent="0.25">
      <c r="A289" s="1">
        <v>44209</v>
      </c>
    </row>
    <row r="290" spans="1:1" x14ac:dyDescent="0.25">
      <c r="A290" s="1">
        <v>44210</v>
      </c>
    </row>
    <row r="291" spans="1:1" x14ac:dyDescent="0.25">
      <c r="A291" s="1">
        <v>44211</v>
      </c>
    </row>
    <row r="292" spans="1:1" x14ac:dyDescent="0.25">
      <c r="A292" s="1">
        <v>44212</v>
      </c>
    </row>
    <row r="293" spans="1:1" x14ac:dyDescent="0.25">
      <c r="A293" s="1">
        <v>44213</v>
      </c>
    </row>
    <row r="294" spans="1:1" x14ac:dyDescent="0.25">
      <c r="A294" s="1">
        <v>44214</v>
      </c>
    </row>
    <row r="295" spans="1:1" x14ac:dyDescent="0.25">
      <c r="A295" s="1">
        <v>44215</v>
      </c>
    </row>
    <row r="296" spans="1:1" x14ac:dyDescent="0.25">
      <c r="A296" s="1">
        <v>44216</v>
      </c>
    </row>
    <row r="297" spans="1:1" x14ac:dyDescent="0.25">
      <c r="A297" s="1">
        <v>44217</v>
      </c>
    </row>
    <row r="298" spans="1:1" x14ac:dyDescent="0.25">
      <c r="A298" s="1">
        <v>44218</v>
      </c>
    </row>
    <row r="299" spans="1:1" x14ac:dyDescent="0.25">
      <c r="A299" s="1">
        <v>44219</v>
      </c>
    </row>
    <row r="300" spans="1:1" x14ac:dyDescent="0.25">
      <c r="A300" s="1">
        <v>44220</v>
      </c>
    </row>
    <row r="301" spans="1:1" x14ac:dyDescent="0.25">
      <c r="A301" s="1">
        <v>44221</v>
      </c>
    </row>
    <row r="302" spans="1:1" x14ac:dyDescent="0.25">
      <c r="A302" s="1">
        <v>44222</v>
      </c>
    </row>
    <row r="303" spans="1:1" x14ac:dyDescent="0.25">
      <c r="A303" s="1">
        <v>44223</v>
      </c>
    </row>
    <row r="304" spans="1:1" x14ac:dyDescent="0.25">
      <c r="A304" s="1">
        <v>44224</v>
      </c>
    </row>
    <row r="305" spans="1:1" x14ac:dyDescent="0.25">
      <c r="A305" s="1">
        <v>44225</v>
      </c>
    </row>
    <row r="306" spans="1:1" x14ac:dyDescent="0.25">
      <c r="A306" s="1">
        <v>44226</v>
      </c>
    </row>
    <row r="307" spans="1:1" x14ac:dyDescent="0.25">
      <c r="A307" s="1">
        <v>44227</v>
      </c>
    </row>
    <row r="308" spans="1:1" x14ac:dyDescent="0.25">
      <c r="A308" s="1">
        <v>44228</v>
      </c>
    </row>
    <row r="309" spans="1:1" x14ac:dyDescent="0.25">
      <c r="A309" s="1">
        <v>44229</v>
      </c>
    </row>
    <row r="310" spans="1:1" x14ac:dyDescent="0.25">
      <c r="A310" s="1">
        <v>44230</v>
      </c>
    </row>
    <row r="311" spans="1:1" x14ac:dyDescent="0.25">
      <c r="A311" s="1">
        <v>44231</v>
      </c>
    </row>
    <row r="312" spans="1:1" x14ac:dyDescent="0.25">
      <c r="A312" s="1">
        <v>44232</v>
      </c>
    </row>
    <row r="313" spans="1:1" x14ac:dyDescent="0.25">
      <c r="A313" s="1">
        <v>44233</v>
      </c>
    </row>
    <row r="314" spans="1:1" x14ac:dyDescent="0.25">
      <c r="A314" s="1">
        <v>44234</v>
      </c>
    </row>
    <row r="315" spans="1:1" x14ac:dyDescent="0.25">
      <c r="A315" s="1">
        <v>44235</v>
      </c>
    </row>
    <row r="316" spans="1:1" x14ac:dyDescent="0.25">
      <c r="A316" s="1">
        <v>44236</v>
      </c>
    </row>
    <row r="317" spans="1:1" x14ac:dyDescent="0.25">
      <c r="A317" s="1">
        <v>44237</v>
      </c>
    </row>
    <row r="318" spans="1:1" x14ac:dyDescent="0.25">
      <c r="A318" s="1">
        <v>44238</v>
      </c>
    </row>
    <row r="319" spans="1:1" x14ac:dyDescent="0.25">
      <c r="A319" s="1">
        <v>44239</v>
      </c>
    </row>
    <row r="320" spans="1:1" x14ac:dyDescent="0.25">
      <c r="A320" s="1">
        <v>44240</v>
      </c>
    </row>
    <row r="321" spans="1:1" x14ac:dyDescent="0.25">
      <c r="A321" s="1">
        <v>44241</v>
      </c>
    </row>
    <row r="322" spans="1:1" x14ac:dyDescent="0.25">
      <c r="A322" s="1">
        <v>44242</v>
      </c>
    </row>
    <row r="323" spans="1:1" x14ac:dyDescent="0.25">
      <c r="A323" s="1">
        <v>44243</v>
      </c>
    </row>
    <row r="324" spans="1:1" x14ac:dyDescent="0.25">
      <c r="A324" s="1">
        <v>44244</v>
      </c>
    </row>
    <row r="325" spans="1:1" x14ac:dyDescent="0.25">
      <c r="A325" s="1">
        <v>44245</v>
      </c>
    </row>
    <row r="326" spans="1:1" x14ac:dyDescent="0.25">
      <c r="A326" s="1">
        <v>44246</v>
      </c>
    </row>
    <row r="327" spans="1:1" x14ac:dyDescent="0.25">
      <c r="A327" s="1">
        <v>44247</v>
      </c>
    </row>
    <row r="328" spans="1:1" x14ac:dyDescent="0.25">
      <c r="A328" s="1">
        <v>44248</v>
      </c>
    </row>
    <row r="329" spans="1:1" x14ac:dyDescent="0.25">
      <c r="A329" s="1">
        <v>44249</v>
      </c>
    </row>
    <row r="330" spans="1:1" x14ac:dyDescent="0.25">
      <c r="A330" s="1">
        <v>44250</v>
      </c>
    </row>
    <row r="331" spans="1:1" x14ac:dyDescent="0.25">
      <c r="A331" s="1">
        <v>44251</v>
      </c>
    </row>
    <row r="332" spans="1:1" x14ac:dyDescent="0.25">
      <c r="A332" s="1">
        <v>44252</v>
      </c>
    </row>
    <row r="333" spans="1:1" x14ac:dyDescent="0.25">
      <c r="A333" s="1">
        <v>44253</v>
      </c>
    </row>
    <row r="334" spans="1:1" x14ac:dyDescent="0.25">
      <c r="A334" s="1">
        <v>44254</v>
      </c>
    </row>
    <row r="335" spans="1:1" x14ac:dyDescent="0.25">
      <c r="A335" s="1">
        <v>44255</v>
      </c>
    </row>
    <row r="336" spans="1:1" x14ac:dyDescent="0.25">
      <c r="A336" s="1">
        <v>44256</v>
      </c>
    </row>
    <row r="337" spans="1:1" x14ac:dyDescent="0.25">
      <c r="A337" s="1">
        <v>44257</v>
      </c>
    </row>
    <row r="338" spans="1:1" x14ac:dyDescent="0.25">
      <c r="A338" s="1">
        <v>44258</v>
      </c>
    </row>
    <row r="339" spans="1:1" x14ac:dyDescent="0.25">
      <c r="A339" s="1">
        <v>44259</v>
      </c>
    </row>
    <row r="340" spans="1:1" x14ac:dyDescent="0.25">
      <c r="A340" s="1">
        <v>44260</v>
      </c>
    </row>
    <row r="341" spans="1:1" x14ac:dyDescent="0.25">
      <c r="A341" s="1">
        <v>44261</v>
      </c>
    </row>
    <row r="342" spans="1:1" x14ac:dyDescent="0.25">
      <c r="A342" s="1">
        <v>44262</v>
      </c>
    </row>
    <row r="343" spans="1:1" x14ac:dyDescent="0.25">
      <c r="A343" s="1">
        <v>44263</v>
      </c>
    </row>
    <row r="344" spans="1:1" x14ac:dyDescent="0.25">
      <c r="A344" s="1">
        <v>44264</v>
      </c>
    </row>
    <row r="345" spans="1:1" x14ac:dyDescent="0.25">
      <c r="A345" s="1">
        <v>44265</v>
      </c>
    </row>
    <row r="346" spans="1:1" x14ac:dyDescent="0.25">
      <c r="A346" s="1">
        <v>44266</v>
      </c>
    </row>
    <row r="347" spans="1:1" x14ac:dyDescent="0.25">
      <c r="A347" s="1">
        <v>44267</v>
      </c>
    </row>
    <row r="348" spans="1:1" x14ac:dyDescent="0.25">
      <c r="A348" s="1">
        <v>44268</v>
      </c>
    </row>
    <row r="349" spans="1:1" x14ac:dyDescent="0.25">
      <c r="A349" s="1">
        <v>44269</v>
      </c>
    </row>
    <row r="350" spans="1:1" x14ac:dyDescent="0.25">
      <c r="A350" s="1">
        <v>44270</v>
      </c>
    </row>
    <row r="351" spans="1:1" x14ac:dyDescent="0.25">
      <c r="A351" s="1">
        <v>44271</v>
      </c>
    </row>
    <row r="352" spans="1:1" x14ac:dyDescent="0.25">
      <c r="A352" s="1">
        <v>44272</v>
      </c>
    </row>
    <row r="353" spans="1:1" x14ac:dyDescent="0.25">
      <c r="A353" s="1">
        <v>44273</v>
      </c>
    </row>
    <row r="354" spans="1:1" x14ac:dyDescent="0.25">
      <c r="A354" s="1">
        <v>44274</v>
      </c>
    </row>
    <row r="355" spans="1:1" x14ac:dyDescent="0.25">
      <c r="A355" s="1">
        <v>44275</v>
      </c>
    </row>
    <row r="356" spans="1:1" x14ac:dyDescent="0.25">
      <c r="A356" s="1">
        <v>44276</v>
      </c>
    </row>
    <row r="357" spans="1:1" x14ac:dyDescent="0.25">
      <c r="A357" s="1">
        <v>44277</v>
      </c>
    </row>
    <row r="358" spans="1:1" x14ac:dyDescent="0.25">
      <c r="A358" s="1">
        <v>44278</v>
      </c>
    </row>
    <row r="359" spans="1:1" x14ac:dyDescent="0.25">
      <c r="A359" s="1">
        <v>44279</v>
      </c>
    </row>
    <row r="360" spans="1:1" x14ac:dyDescent="0.25">
      <c r="A360" s="1">
        <v>44280</v>
      </c>
    </row>
    <row r="361" spans="1:1" x14ac:dyDescent="0.25">
      <c r="A361" s="1">
        <v>44281</v>
      </c>
    </row>
    <row r="362" spans="1:1" x14ac:dyDescent="0.25">
      <c r="A362" s="1">
        <v>44282</v>
      </c>
    </row>
    <row r="363" spans="1:1" x14ac:dyDescent="0.25">
      <c r="A363" s="1">
        <v>44283</v>
      </c>
    </row>
    <row r="364" spans="1:1" x14ac:dyDescent="0.25">
      <c r="A364" s="1">
        <v>44284</v>
      </c>
    </row>
    <row r="365" spans="1:1" x14ac:dyDescent="0.25">
      <c r="A365" s="1">
        <v>44285</v>
      </c>
    </row>
    <row r="366" spans="1:1" x14ac:dyDescent="0.25">
      <c r="A366" s="1">
        <v>44286</v>
      </c>
    </row>
    <row r="367" spans="1:1" x14ac:dyDescent="0.25">
      <c r="A367" s="1">
        <v>44287</v>
      </c>
    </row>
    <row r="368" spans="1:1" x14ac:dyDescent="0.25">
      <c r="A368" s="1">
        <v>44288</v>
      </c>
    </row>
    <row r="369" spans="1:1" x14ac:dyDescent="0.25">
      <c r="A369" s="1">
        <v>44289</v>
      </c>
    </row>
    <row r="370" spans="1:1" x14ac:dyDescent="0.25">
      <c r="A370" s="1">
        <v>44290</v>
      </c>
    </row>
    <row r="371" spans="1:1" x14ac:dyDescent="0.25">
      <c r="A371" s="1">
        <v>44291</v>
      </c>
    </row>
    <row r="372" spans="1:1" x14ac:dyDescent="0.25">
      <c r="A372" s="1">
        <v>44292</v>
      </c>
    </row>
    <row r="373" spans="1:1" x14ac:dyDescent="0.25">
      <c r="A373" s="1">
        <v>44293</v>
      </c>
    </row>
    <row r="374" spans="1:1" x14ac:dyDescent="0.25">
      <c r="A374" s="1">
        <v>44294</v>
      </c>
    </row>
    <row r="375" spans="1:1" x14ac:dyDescent="0.25">
      <c r="A375" s="1">
        <v>44295</v>
      </c>
    </row>
    <row r="376" spans="1:1" x14ac:dyDescent="0.25">
      <c r="A376" s="1">
        <v>44296</v>
      </c>
    </row>
    <row r="377" spans="1:1" x14ac:dyDescent="0.25">
      <c r="A377" s="1">
        <v>44297</v>
      </c>
    </row>
    <row r="378" spans="1:1" x14ac:dyDescent="0.25">
      <c r="A378" s="1">
        <v>44298</v>
      </c>
    </row>
    <row r="379" spans="1:1" x14ac:dyDescent="0.25">
      <c r="A379" s="1">
        <v>44299</v>
      </c>
    </row>
    <row r="380" spans="1:1" x14ac:dyDescent="0.25">
      <c r="A380" s="1">
        <v>44300</v>
      </c>
    </row>
    <row r="381" spans="1:1" x14ac:dyDescent="0.25">
      <c r="A381" s="1">
        <v>44301</v>
      </c>
    </row>
    <row r="382" spans="1:1" x14ac:dyDescent="0.25">
      <c r="A382" s="1">
        <v>44302</v>
      </c>
    </row>
    <row r="383" spans="1:1" x14ac:dyDescent="0.25">
      <c r="A383" s="1">
        <v>44303</v>
      </c>
    </row>
    <row r="384" spans="1:1" x14ac:dyDescent="0.25">
      <c r="A384" s="1">
        <v>44304</v>
      </c>
    </row>
    <row r="385" spans="1:1" x14ac:dyDescent="0.25">
      <c r="A385" s="1">
        <v>44305</v>
      </c>
    </row>
    <row r="386" spans="1:1" x14ac:dyDescent="0.25">
      <c r="A386" s="1">
        <v>44306</v>
      </c>
    </row>
    <row r="387" spans="1:1" x14ac:dyDescent="0.25">
      <c r="A387" s="1">
        <v>44307</v>
      </c>
    </row>
    <row r="388" spans="1:1" x14ac:dyDescent="0.25">
      <c r="A388" s="1">
        <v>44308</v>
      </c>
    </row>
    <row r="389" spans="1:1" x14ac:dyDescent="0.25">
      <c r="A389" s="1">
        <v>44309</v>
      </c>
    </row>
    <row r="390" spans="1:1" x14ac:dyDescent="0.25">
      <c r="A390" s="1">
        <v>44310</v>
      </c>
    </row>
    <row r="391" spans="1:1" x14ac:dyDescent="0.25">
      <c r="A391" s="1">
        <v>44311</v>
      </c>
    </row>
    <row r="392" spans="1:1" x14ac:dyDescent="0.25">
      <c r="A392" s="1">
        <v>44312</v>
      </c>
    </row>
    <row r="393" spans="1:1" x14ac:dyDescent="0.25">
      <c r="A393" s="1">
        <v>44313</v>
      </c>
    </row>
    <row r="394" spans="1:1" x14ac:dyDescent="0.25">
      <c r="A394" s="1">
        <v>44314</v>
      </c>
    </row>
    <row r="395" spans="1:1" x14ac:dyDescent="0.25">
      <c r="A395" s="1">
        <v>44315</v>
      </c>
    </row>
    <row r="396" spans="1:1" x14ac:dyDescent="0.25">
      <c r="A396" s="1">
        <v>44316</v>
      </c>
    </row>
    <row r="397" spans="1:1" x14ac:dyDescent="0.25">
      <c r="A397" s="1">
        <v>44317</v>
      </c>
    </row>
    <row r="398" spans="1:1" x14ac:dyDescent="0.25">
      <c r="A398" s="1">
        <v>44318</v>
      </c>
    </row>
    <row r="399" spans="1:1" x14ac:dyDescent="0.25">
      <c r="A399" s="1">
        <v>44319</v>
      </c>
    </row>
    <row r="400" spans="1:1" x14ac:dyDescent="0.25">
      <c r="A400" s="1">
        <v>44320</v>
      </c>
    </row>
    <row r="401" spans="1:1" x14ac:dyDescent="0.25">
      <c r="A401" s="1">
        <v>44321</v>
      </c>
    </row>
    <row r="402" spans="1:1" x14ac:dyDescent="0.25">
      <c r="A402" s="1">
        <v>44322</v>
      </c>
    </row>
    <row r="403" spans="1:1" x14ac:dyDescent="0.25">
      <c r="A403" s="1">
        <v>44323</v>
      </c>
    </row>
    <row r="404" spans="1:1" x14ac:dyDescent="0.25">
      <c r="A404" s="1">
        <v>44324</v>
      </c>
    </row>
    <row r="405" spans="1:1" x14ac:dyDescent="0.25">
      <c r="A405" s="1">
        <v>44325</v>
      </c>
    </row>
    <row r="406" spans="1:1" x14ac:dyDescent="0.25">
      <c r="A406" s="1">
        <v>44326</v>
      </c>
    </row>
    <row r="407" spans="1:1" x14ac:dyDescent="0.25">
      <c r="A407" s="1">
        <v>44327</v>
      </c>
    </row>
    <row r="408" spans="1:1" x14ac:dyDescent="0.25">
      <c r="A408" s="1">
        <v>44328</v>
      </c>
    </row>
    <row r="409" spans="1:1" x14ac:dyDescent="0.25">
      <c r="A409" s="1">
        <v>44329</v>
      </c>
    </row>
    <row r="410" spans="1:1" x14ac:dyDescent="0.25">
      <c r="A410" s="1">
        <v>44330</v>
      </c>
    </row>
    <row r="411" spans="1:1" x14ac:dyDescent="0.25">
      <c r="A411" s="1">
        <v>44331</v>
      </c>
    </row>
    <row r="412" spans="1:1" x14ac:dyDescent="0.25">
      <c r="A412" s="1">
        <v>44332</v>
      </c>
    </row>
    <row r="413" spans="1:1" x14ac:dyDescent="0.25">
      <c r="A413" s="1">
        <v>44333</v>
      </c>
    </row>
    <row r="414" spans="1:1" x14ac:dyDescent="0.25">
      <c r="A414" s="1">
        <v>44334</v>
      </c>
    </row>
    <row r="415" spans="1:1" x14ac:dyDescent="0.25">
      <c r="A415" s="1">
        <v>44335</v>
      </c>
    </row>
    <row r="416" spans="1:1" x14ac:dyDescent="0.25">
      <c r="A416" s="1">
        <v>44336</v>
      </c>
    </row>
    <row r="417" spans="1:1" x14ac:dyDescent="0.25">
      <c r="A417" s="1">
        <v>44337</v>
      </c>
    </row>
    <row r="418" spans="1:1" x14ac:dyDescent="0.25">
      <c r="A418" s="1">
        <v>44338</v>
      </c>
    </row>
    <row r="419" spans="1:1" x14ac:dyDescent="0.25">
      <c r="A419" s="1">
        <v>44339</v>
      </c>
    </row>
    <row r="420" spans="1:1" x14ac:dyDescent="0.25">
      <c r="A420" s="1">
        <v>44340</v>
      </c>
    </row>
    <row r="421" spans="1:1" x14ac:dyDescent="0.25">
      <c r="A421" s="1">
        <v>44341</v>
      </c>
    </row>
    <row r="422" spans="1:1" x14ac:dyDescent="0.25">
      <c r="A422" s="1">
        <v>44342</v>
      </c>
    </row>
    <row r="423" spans="1:1" x14ac:dyDescent="0.25">
      <c r="A423" s="1">
        <v>44343</v>
      </c>
    </row>
    <row r="424" spans="1:1" x14ac:dyDescent="0.25">
      <c r="A424" s="1">
        <v>44344</v>
      </c>
    </row>
    <row r="425" spans="1:1" x14ac:dyDescent="0.25">
      <c r="A425" s="1">
        <v>44345</v>
      </c>
    </row>
    <row r="426" spans="1:1" x14ac:dyDescent="0.25">
      <c r="A426" s="1">
        <v>44346</v>
      </c>
    </row>
    <row r="427" spans="1:1" x14ac:dyDescent="0.25">
      <c r="A427" s="1">
        <v>44347</v>
      </c>
    </row>
    <row r="428" spans="1:1" x14ac:dyDescent="0.25">
      <c r="A428" s="1">
        <v>44348</v>
      </c>
    </row>
    <row r="429" spans="1:1" x14ac:dyDescent="0.25">
      <c r="A429" s="1">
        <v>44349</v>
      </c>
    </row>
    <row r="430" spans="1:1" x14ac:dyDescent="0.25">
      <c r="A430" s="1">
        <v>44350</v>
      </c>
    </row>
    <row r="431" spans="1:1" x14ac:dyDescent="0.25">
      <c r="A431" s="1">
        <v>44351</v>
      </c>
    </row>
    <row r="432" spans="1:1" x14ac:dyDescent="0.25">
      <c r="A432" s="1">
        <v>44352</v>
      </c>
    </row>
    <row r="433" spans="1:1" x14ac:dyDescent="0.25">
      <c r="A433" s="1">
        <v>44353</v>
      </c>
    </row>
    <row r="434" spans="1:1" x14ac:dyDescent="0.25">
      <c r="A434" s="1">
        <v>44354</v>
      </c>
    </row>
    <row r="435" spans="1:1" x14ac:dyDescent="0.25">
      <c r="A435" s="1">
        <v>44355</v>
      </c>
    </row>
    <row r="436" spans="1:1" x14ac:dyDescent="0.25">
      <c r="A436" s="1">
        <v>44356</v>
      </c>
    </row>
    <row r="437" spans="1:1" x14ac:dyDescent="0.25">
      <c r="A437" s="1">
        <v>44357</v>
      </c>
    </row>
    <row r="438" spans="1:1" x14ac:dyDescent="0.25">
      <c r="A438" s="1">
        <v>44358</v>
      </c>
    </row>
    <row r="439" spans="1:1" x14ac:dyDescent="0.25">
      <c r="A439" s="1">
        <v>44359</v>
      </c>
    </row>
    <row r="440" spans="1:1" x14ac:dyDescent="0.25">
      <c r="A440" s="1">
        <v>44360</v>
      </c>
    </row>
    <row r="441" spans="1:1" x14ac:dyDescent="0.25">
      <c r="A441" s="1">
        <v>44361</v>
      </c>
    </row>
    <row r="442" spans="1:1" x14ac:dyDescent="0.25">
      <c r="A442" s="1">
        <v>44362</v>
      </c>
    </row>
    <row r="443" spans="1:1" x14ac:dyDescent="0.25">
      <c r="A443" s="1">
        <v>44363</v>
      </c>
    </row>
    <row r="444" spans="1:1" x14ac:dyDescent="0.25">
      <c r="A444" s="1">
        <v>44364</v>
      </c>
    </row>
    <row r="445" spans="1:1" x14ac:dyDescent="0.25">
      <c r="A445" s="1">
        <v>44365</v>
      </c>
    </row>
    <row r="446" spans="1:1" x14ac:dyDescent="0.25">
      <c r="A446" s="1">
        <v>44366</v>
      </c>
    </row>
    <row r="447" spans="1:1" x14ac:dyDescent="0.25">
      <c r="A447" s="1">
        <v>44367</v>
      </c>
    </row>
    <row r="448" spans="1:1" x14ac:dyDescent="0.25">
      <c r="A448" s="1">
        <v>44368</v>
      </c>
    </row>
    <row r="449" spans="1:1" x14ac:dyDescent="0.25">
      <c r="A449" s="1">
        <v>44369</v>
      </c>
    </row>
    <row r="450" spans="1:1" x14ac:dyDescent="0.25">
      <c r="A450" s="1">
        <v>44370</v>
      </c>
    </row>
    <row r="451" spans="1:1" x14ac:dyDescent="0.25">
      <c r="A451" s="1">
        <v>44371</v>
      </c>
    </row>
    <row r="452" spans="1:1" x14ac:dyDescent="0.25">
      <c r="A452" s="1">
        <v>44372</v>
      </c>
    </row>
    <row r="453" spans="1:1" x14ac:dyDescent="0.25">
      <c r="A453" s="1">
        <v>44373</v>
      </c>
    </row>
    <row r="454" spans="1:1" x14ac:dyDescent="0.25">
      <c r="A454" s="1">
        <v>44374</v>
      </c>
    </row>
    <row r="455" spans="1:1" x14ac:dyDescent="0.25">
      <c r="A455" s="1">
        <v>44375</v>
      </c>
    </row>
    <row r="456" spans="1:1" x14ac:dyDescent="0.25">
      <c r="A456" s="1">
        <v>44376</v>
      </c>
    </row>
    <row r="457" spans="1:1" x14ac:dyDescent="0.25">
      <c r="A457" s="1">
        <v>44377</v>
      </c>
    </row>
    <row r="458" spans="1:1" x14ac:dyDescent="0.25">
      <c r="A458" s="1">
        <v>44378</v>
      </c>
    </row>
    <row r="459" spans="1:1" x14ac:dyDescent="0.25">
      <c r="A459" s="1">
        <v>44379</v>
      </c>
    </row>
    <row r="460" spans="1:1" x14ac:dyDescent="0.25">
      <c r="A460" s="1">
        <v>44380</v>
      </c>
    </row>
    <row r="461" spans="1:1" x14ac:dyDescent="0.25">
      <c r="A461" s="1">
        <v>44381</v>
      </c>
    </row>
    <row r="462" spans="1:1" x14ac:dyDescent="0.25">
      <c r="A462" s="1">
        <v>44382</v>
      </c>
    </row>
    <row r="463" spans="1:1" x14ac:dyDescent="0.25">
      <c r="A463" s="1">
        <v>44383</v>
      </c>
    </row>
    <row r="464" spans="1:1" x14ac:dyDescent="0.25">
      <c r="A464" s="1">
        <v>44384</v>
      </c>
    </row>
    <row r="465" spans="1:1" x14ac:dyDescent="0.25">
      <c r="A465" s="1">
        <v>44385</v>
      </c>
    </row>
    <row r="466" spans="1:1" x14ac:dyDescent="0.25">
      <c r="A466" s="1">
        <v>44386</v>
      </c>
    </row>
    <row r="467" spans="1:1" x14ac:dyDescent="0.25">
      <c r="A467" s="1">
        <v>44387</v>
      </c>
    </row>
    <row r="468" spans="1:1" x14ac:dyDescent="0.25">
      <c r="A468" s="1">
        <v>44388</v>
      </c>
    </row>
    <row r="469" spans="1:1" x14ac:dyDescent="0.25">
      <c r="A469" s="1">
        <v>44389</v>
      </c>
    </row>
    <row r="470" spans="1:1" x14ac:dyDescent="0.25">
      <c r="A470" s="1">
        <v>44390</v>
      </c>
    </row>
    <row r="471" spans="1:1" x14ac:dyDescent="0.25">
      <c r="A471" s="1">
        <v>44391</v>
      </c>
    </row>
    <row r="472" spans="1:1" x14ac:dyDescent="0.25">
      <c r="A472" s="1">
        <v>44392</v>
      </c>
    </row>
    <row r="473" spans="1:1" x14ac:dyDescent="0.25">
      <c r="A473" s="1">
        <v>44393</v>
      </c>
    </row>
    <row r="474" spans="1:1" x14ac:dyDescent="0.25">
      <c r="A474" s="1">
        <v>44394</v>
      </c>
    </row>
    <row r="475" spans="1:1" x14ac:dyDescent="0.25">
      <c r="A475" s="1">
        <v>44395</v>
      </c>
    </row>
    <row r="476" spans="1:1" x14ac:dyDescent="0.25">
      <c r="A476" s="1">
        <v>44396</v>
      </c>
    </row>
    <row r="477" spans="1:1" x14ac:dyDescent="0.25">
      <c r="A477" s="1">
        <v>44397</v>
      </c>
    </row>
    <row r="478" spans="1:1" x14ac:dyDescent="0.25">
      <c r="A478" s="1">
        <v>44398</v>
      </c>
    </row>
    <row r="479" spans="1:1" x14ac:dyDescent="0.25">
      <c r="A479" s="1">
        <v>44399</v>
      </c>
    </row>
    <row r="480" spans="1:1" x14ac:dyDescent="0.25">
      <c r="A480" s="1">
        <v>44400</v>
      </c>
    </row>
    <row r="481" spans="1:1" x14ac:dyDescent="0.25">
      <c r="A481" s="1">
        <v>44401</v>
      </c>
    </row>
    <row r="482" spans="1:1" x14ac:dyDescent="0.25">
      <c r="A482" s="1">
        <v>44402</v>
      </c>
    </row>
    <row r="483" spans="1:1" x14ac:dyDescent="0.25">
      <c r="A483" s="1">
        <v>44403</v>
      </c>
    </row>
    <row r="484" spans="1:1" x14ac:dyDescent="0.25">
      <c r="A484" s="1">
        <v>44404</v>
      </c>
    </row>
    <row r="485" spans="1:1" x14ac:dyDescent="0.25">
      <c r="A485" s="1">
        <v>44405</v>
      </c>
    </row>
    <row r="486" spans="1:1" x14ac:dyDescent="0.25">
      <c r="A486" s="1">
        <v>44406</v>
      </c>
    </row>
    <row r="487" spans="1:1" x14ac:dyDescent="0.25">
      <c r="A487" s="1">
        <v>44407</v>
      </c>
    </row>
    <row r="488" spans="1:1" x14ac:dyDescent="0.25">
      <c r="A488" s="1">
        <v>44408</v>
      </c>
    </row>
    <row r="489" spans="1:1" x14ac:dyDescent="0.25">
      <c r="A489" s="1">
        <v>44409</v>
      </c>
    </row>
    <row r="490" spans="1:1" x14ac:dyDescent="0.25">
      <c r="A490" s="1">
        <v>44410</v>
      </c>
    </row>
    <row r="491" spans="1:1" x14ac:dyDescent="0.25">
      <c r="A491" s="1">
        <v>44411</v>
      </c>
    </row>
    <row r="492" spans="1:1" x14ac:dyDescent="0.25">
      <c r="A492" s="1">
        <v>44412</v>
      </c>
    </row>
    <row r="493" spans="1:1" x14ac:dyDescent="0.25">
      <c r="A493" s="1">
        <v>44413</v>
      </c>
    </row>
    <row r="494" spans="1:1" x14ac:dyDescent="0.25">
      <c r="A494" s="1">
        <v>44414</v>
      </c>
    </row>
    <row r="495" spans="1:1" x14ac:dyDescent="0.25">
      <c r="A495" s="1">
        <v>44415</v>
      </c>
    </row>
    <row r="496" spans="1:1" x14ac:dyDescent="0.25">
      <c r="A496" s="1">
        <v>44416</v>
      </c>
    </row>
    <row r="497" spans="1:1" x14ac:dyDescent="0.25">
      <c r="A497" s="1">
        <v>44417</v>
      </c>
    </row>
    <row r="498" spans="1:1" x14ac:dyDescent="0.25">
      <c r="A498" s="1">
        <v>44418</v>
      </c>
    </row>
    <row r="499" spans="1:1" x14ac:dyDescent="0.25">
      <c r="A499" s="1">
        <v>44419</v>
      </c>
    </row>
    <row r="500" spans="1:1" x14ac:dyDescent="0.25">
      <c r="A500" s="1">
        <v>44420</v>
      </c>
    </row>
    <row r="501" spans="1:1" x14ac:dyDescent="0.25">
      <c r="A501" s="1">
        <v>44421</v>
      </c>
    </row>
    <row r="502" spans="1:1" x14ac:dyDescent="0.25">
      <c r="A502" s="1">
        <v>44422</v>
      </c>
    </row>
    <row r="503" spans="1:1" x14ac:dyDescent="0.25">
      <c r="A503" s="1">
        <v>44423</v>
      </c>
    </row>
    <row r="504" spans="1:1" x14ac:dyDescent="0.25">
      <c r="A504" s="1">
        <v>44424</v>
      </c>
    </row>
    <row r="505" spans="1:1" x14ac:dyDescent="0.25">
      <c r="A505" s="1">
        <v>44425</v>
      </c>
    </row>
    <row r="506" spans="1:1" x14ac:dyDescent="0.25">
      <c r="A506" s="1">
        <v>44426</v>
      </c>
    </row>
    <row r="507" spans="1:1" x14ac:dyDescent="0.25">
      <c r="A507" s="1">
        <v>44427</v>
      </c>
    </row>
    <row r="508" spans="1:1" x14ac:dyDescent="0.25">
      <c r="A508" s="1">
        <v>44428</v>
      </c>
    </row>
    <row r="509" spans="1:1" x14ac:dyDescent="0.25">
      <c r="A509" s="1">
        <v>44429</v>
      </c>
    </row>
    <row r="510" spans="1:1" x14ac:dyDescent="0.25">
      <c r="A510" s="1">
        <v>44430</v>
      </c>
    </row>
    <row r="511" spans="1:1" x14ac:dyDescent="0.25">
      <c r="A511" s="1">
        <v>44431</v>
      </c>
    </row>
    <row r="512" spans="1:1" x14ac:dyDescent="0.25">
      <c r="A512" s="1">
        <v>44432</v>
      </c>
    </row>
    <row r="513" spans="1:1" x14ac:dyDescent="0.25">
      <c r="A513" s="1">
        <v>44433</v>
      </c>
    </row>
    <row r="514" spans="1:1" x14ac:dyDescent="0.25">
      <c r="A514" s="1">
        <v>44434</v>
      </c>
    </row>
    <row r="515" spans="1:1" x14ac:dyDescent="0.25">
      <c r="A515" s="1">
        <v>44435</v>
      </c>
    </row>
    <row r="516" spans="1:1" x14ac:dyDescent="0.25">
      <c r="A516" s="1">
        <v>44436</v>
      </c>
    </row>
    <row r="517" spans="1:1" x14ac:dyDescent="0.25">
      <c r="A517" s="1">
        <v>44437</v>
      </c>
    </row>
    <row r="518" spans="1:1" x14ac:dyDescent="0.25">
      <c r="A518" s="1">
        <v>44438</v>
      </c>
    </row>
    <row r="519" spans="1:1" x14ac:dyDescent="0.25">
      <c r="A519" s="1">
        <v>44439</v>
      </c>
    </row>
    <row r="520" spans="1:1" x14ac:dyDescent="0.25">
      <c r="A520" s="1">
        <v>44440</v>
      </c>
    </row>
    <row r="521" spans="1:1" x14ac:dyDescent="0.25">
      <c r="A521" s="1">
        <v>44441</v>
      </c>
    </row>
    <row r="522" spans="1:1" x14ac:dyDescent="0.25">
      <c r="A522" s="1">
        <v>44442</v>
      </c>
    </row>
    <row r="523" spans="1:1" x14ac:dyDescent="0.25">
      <c r="A523" s="1">
        <v>44443</v>
      </c>
    </row>
    <row r="524" spans="1:1" x14ac:dyDescent="0.25">
      <c r="A524" s="1">
        <v>44444</v>
      </c>
    </row>
    <row r="525" spans="1:1" x14ac:dyDescent="0.25">
      <c r="A525" s="1">
        <v>44445</v>
      </c>
    </row>
    <row r="526" spans="1:1" x14ac:dyDescent="0.25">
      <c r="A526" s="1">
        <v>44446</v>
      </c>
    </row>
    <row r="527" spans="1:1" x14ac:dyDescent="0.25">
      <c r="A527" s="1">
        <v>44447</v>
      </c>
    </row>
    <row r="528" spans="1:1" x14ac:dyDescent="0.25">
      <c r="A528" s="1">
        <v>44448</v>
      </c>
    </row>
    <row r="529" spans="1:1" x14ac:dyDescent="0.25">
      <c r="A529" s="1">
        <v>44449</v>
      </c>
    </row>
    <row r="530" spans="1:1" x14ac:dyDescent="0.25">
      <c r="A530" s="1">
        <v>44450</v>
      </c>
    </row>
    <row r="531" spans="1:1" x14ac:dyDescent="0.25">
      <c r="A531" s="1">
        <v>44451</v>
      </c>
    </row>
    <row r="532" spans="1:1" x14ac:dyDescent="0.25">
      <c r="A532" s="1">
        <v>44452</v>
      </c>
    </row>
    <row r="533" spans="1:1" x14ac:dyDescent="0.25">
      <c r="A533" s="1">
        <v>44453</v>
      </c>
    </row>
    <row r="534" spans="1:1" x14ac:dyDescent="0.25">
      <c r="A534" s="1">
        <v>44454</v>
      </c>
    </row>
    <row r="535" spans="1:1" x14ac:dyDescent="0.25">
      <c r="A535" s="1">
        <v>44455</v>
      </c>
    </row>
    <row r="536" spans="1:1" x14ac:dyDescent="0.25">
      <c r="A536" s="1">
        <v>44456</v>
      </c>
    </row>
    <row r="537" spans="1:1" x14ac:dyDescent="0.25">
      <c r="A537" s="1">
        <v>44457</v>
      </c>
    </row>
    <row r="538" spans="1:1" x14ac:dyDescent="0.25">
      <c r="A538" s="1">
        <v>44458</v>
      </c>
    </row>
    <row r="539" spans="1:1" x14ac:dyDescent="0.25">
      <c r="A539" s="1">
        <v>44459</v>
      </c>
    </row>
    <row r="540" spans="1:1" x14ac:dyDescent="0.25">
      <c r="A540" s="1">
        <v>44460</v>
      </c>
    </row>
    <row r="541" spans="1:1" x14ac:dyDescent="0.25">
      <c r="A541" s="1">
        <v>44461</v>
      </c>
    </row>
    <row r="542" spans="1:1" x14ac:dyDescent="0.25">
      <c r="A542" s="1">
        <v>44462</v>
      </c>
    </row>
    <row r="543" spans="1:1" x14ac:dyDescent="0.25">
      <c r="A543" s="1">
        <v>44463</v>
      </c>
    </row>
    <row r="544" spans="1:1" x14ac:dyDescent="0.25">
      <c r="A544" s="1">
        <v>44464</v>
      </c>
    </row>
    <row r="545" spans="1:1" x14ac:dyDescent="0.25">
      <c r="A545" s="1">
        <v>44465</v>
      </c>
    </row>
    <row r="546" spans="1:1" x14ac:dyDescent="0.25">
      <c r="A546" s="1">
        <v>44466</v>
      </c>
    </row>
    <row r="547" spans="1:1" x14ac:dyDescent="0.25">
      <c r="A547" s="1">
        <v>44467</v>
      </c>
    </row>
    <row r="548" spans="1:1" x14ac:dyDescent="0.25">
      <c r="A548" s="1">
        <v>44468</v>
      </c>
    </row>
    <row r="549" spans="1:1" x14ac:dyDescent="0.25">
      <c r="A549" s="1">
        <v>44469</v>
      </c>
    </row>
    <row r="550" spans="1:1" x14ac:dyDescent="0.25">
      <c r="A550" s="1">
        <v>44470</v>
      </c>
    </row>
    <row r="551" spans="1:1" x14ac:dyDescent="0.25">
      <c r="A551" s="1">
        <v>44471</v>
      </c>
    </row>
    <row r="552" spans="1:1" x14ac:dyDescent="0.25">
      <c r="A552" s="1">
        <v>44472</v>
      </c>
    </row>
    <row r="553" spans="1:1" x14ac:dyDescent="0.25">
      <c r="A553" s="1">
        <v>44473</v>
      </c>
    </row>
    <row r="554" spans="1:1" x14ac:dyDescent="0.25">
      <c r="A554" s="1">
        <v>44474</v>
      </c>
    </row>
    <row r="555" spans="1:1" x14ac:dyDescent="0.25">
      <c r="A555" s="1">
        <v>44475</v>
      </c>
    </row>
    <row r="556" spans="1:1" x14ac:dyDescent="0.25">
      <c r="A556" s="1">
        <v>44476</v>
      </c>
    </row>
    <row r="557" spans="1:1" x14ac:dyDescent="0.25">
      <c r="A557" s="1">
        <v>44477</v>
      </c>
    </row>
    <row r="558" spans="1:1" x14ac:dyDescent="0.25">
      <c r="A558" s="1">
        <v>44478</v>
      </c>
    </row>
    <row r="559" spans="1:1" x14ac:dyDescent="0.25">
      <c r="A559" s="1">
        <v>44479</v>
      </c>
    </row>
    <row r="560" spans="1:1" x14ac:dyDescent="0.25">
      <c r="A560" s="1">
        <v>44480</v>
      </c>
    </row>
    <row r="561" spans="1:1" x14ac:dyDescent="0.25">
      <c r="A561" s="1">
        <v>44481</v>
      </c>
    </row>
    <row r="562" spans="1:1" x14ac:dyDescent="0.25">
      <c r="A562" s="1">
        <v>44482</v>
      </c>
    </row>
    <row r="563" spans="1:1" x14ac:dyDescent="0.25">
      <c r="A563" s="1">
        <v>44483</v>
      </c>
    </row>
    <row r="564" spans="1:1" x14ac:dyDescent="0.25">
      <c r="A564" s="1">
        <v>44484</v>
      </c>
    </row>
    <row r="565" spans="1:1" x14ac:dyDescent="0.25">
      <c r="A565" s="1">
        <v>44485</v>
      </c>
    </row>
    <row r="566" spans="1:1" x14ac:dyDescent="0.25">
      <c r="A566" s="1">
        <v>44486</v>
      </c>
    </row>
    <row r="567" spans="1:1" x14ac:dyDescent="0.25">
      <c r="A567" s="1">
        <v>44487</v>
      </c>
    </row>
    <row r="568" spans="1:1" x14ac:dyDescent="0.25">
      <c r="A568" s="1">
        <v>44488</v>
      </c>
    </row>
    <row r="569" spans="1:1" x14ac:dyDescent="0.25">
      <c r="A569" s="1">
        <v>44489</v>
      </c>
    </row>
    <row r="570" spans="1:1" x14ac:dyDescent="0.25">
      <c r="A570" s="1">
        <v>44490</v>
      </c>
    </row>
    <row r="571" spans="1:1" x14ac:dyDescent="0.25">
      <c r="A571" s="1">
        <v>44491</v>
      </c>
    </row>
    <row r="572" spans="1:1" x14ac:dyDescent="0.25">
      <c r="A572" s="1">
        <v>44492</v>
      </c>
    </row>
    <row r="573" spans="1:1" x14ac:dyDescent="0.25">
      <c r="A573" s="1">
        <v>44493</v>
      </c>
    </row>
    <row r="574" spans="1:1" x14ac:dyDescent="0.25">
      <c r="A574" s="1">
        <v>44494</v>
      </c>
    </row>
    <row r="575" spans="1:1" x14ac:dyDescent="0.25">
      <c r="A575" s="1">
        <v>44495</v>
      </c>
    </row>
    <row r="576" spans="1:1" x14ac:dyDescent="0.25">
      <c r="A576" s="1">
        <v>44496</v>
      </c>
    </row>
    <row r="577" spans="1:1" x14ac:dyDescent="0.25">
      <c r="A577" s="1">
        <v>44497</v>
      </c>
    </row>
    <row r="578" spans="1:1" x14ac:dyDescent="0.25">
      <c r="A578" s="1">
        <v>44498</v>
      </c>
    </row>
    <row r="579" spans="1:1" x14ac:dyDescent="0.25">
      <c r="A579" s="1">
        <v>44499</v>
      </c>
    </row>
    <row r="580" spans="1:1" x14ac:dyDescent="0.25">
      <c r="A580" s="1">
        <v>44500</v>
      </c>
    </row>
    <row r="581" spans="1:1" x14ac:dyDescent="0.25">
      <c r="A581" s="1">
        <v>44501</v>
      </c>
    </row>
    <row r="582" spans="1:1" x14ac:dyDescent="0.25">
      <c r="A582" s="1">
        <v>44502</v>
      </c>
    </row>
    <row r="583" spans="1:1" x14ac:dyDescent="0.25">
      <c r="A583" s="1">
        <v>44503</v>
      </c>
    </row>
    <row r="584" spans="1:1" x14ac:dyDescent="0.25">
      <c r="A584" s="1">
        <v>44504</v>
      </c>
    </row>
    <row r="585" spans="1:1" x14ac:dyDescent="0.25">
      <c r="A585" s="1">
        <v>44505</v>
      </c>
    </row>
    <row r="586" spans="1:1" x14ac:dyDescent="0.25">
      <c r="A586" s="1">
        <v>44506</v>
      </c>
    </row>
    <row r="587" spans="1:1" x14ac:dyDescent="0.25">
      <c r="A587" s="1">
        <v>44507</v>
      </c>
    </row>
    <row r="588" spans="1:1" x14ac:dyDescent="0.25">
      <c r="A588" s="1">
        <v>44508</v>
      </c>
    </row>
    <row r="589" spans="1:1" x14ac:dyDescent="0.25">
      <c r="A589" s="1">
        <v>44509</v>
      </c>
    </row>
    <row r="590" spans="1:1" x14ac:dyDescent="0.25">
      <c r="A590" s="1">
        <v>44510</v>
      </c>
    </row>
    <row r="591" spans="1:1" x14ac:dyDescent="0.25">
      <c r="A591" s="1">
        <v>44511</v>
      </c>
    </row>
    <row r="592" spans="1:1" x14ac:dyDescent="0.25">
      <c r="A592" s="1">
        <v>44512</v>
      </c>
    </row>
    <row r="593" spans="1:1" x14ac:dyDescent="0.25">
      <c r="A593" s="1">
        <v>44513</v>
      </c>
    </row>
    <row r="594" spans="1:1" x14ac:dyDescent="0.25">
      <c r="A594" s="1">
        <v>44514</v>
      </c>
    </row>
    <row r="595" spans="1:1" x14ac:dyDescent="0.25">
      <c r="A595" s="1">
        <v>44515</v>
      </c>
    </row>
    <row r="596" spans="1:1" x14ac:dyDescent="0.25">
      <c r="A596" s="1">
        <v>44516</v>
      </c>
    </row>
    <row r="597" spans="1:1" x14ac:dyDescent="0.25">
      <c r="A597" s="1">
        <v>44517</v>
      </c>
    </row>
    <row r="598" spans="1:1" x14ac:dyDescent="0.25">
      <c r="A598" s="1">
        <v>44518</v>
      </c>
    </row>
    <row r="599" spans="1:1" x14ac:dyDescent="0.25">
      <c r="A599" s="1">
        <v>44519</v>
      </c>
    </row>
    <row r="600" spans="1:1" x14ac:dyDescent="0.25">
      <c r="A600" s="1">
        <v>44520</v>
      </c>
    </row>
    <row r="601" spans="1:1" x14ac:dyDescent="0.25">
      <c r="A601" s="1">
        <v>44521</v>
      </c>
    </row>
    <row r="602" spans="1:1" x14ac:dyDescent="0.25">
      <c r="A602" s="1">
        <v>44522</v>
      </c>
    </row>
    <row r="603" spans="1:1" x14ac:dyDescent="0.25">
      <c r="A603" s="1">
        <v>44523</v>
      </c>
    </row>
    <row r="604" spans="1:1" x14ac:dyDescent="0.25">
      <c r="A604" s="1">
        <v>44524</v>
      </c>
    </row>
    <row r="605" spans="1:1" x14ac:dyDescent="0.25">
      <c r="A605" s="1">
        <v>44525</v>
      </c>
    </row>
    <row r="606" spans="1:1" x14ac:dyDescent="0.25">
      <c r="A606" s="1">
        <v>44526</v>
      </c>
    </row>
    <row r="607" spans="1:1" x14ac:dyDescent="0.25">
      <c r="A607" s="1">
        <v>44527</v>
      </c>
    </row>
    <row r="608" spans="1:1" x14ac:dyDescent="0.25">
      <c r="A608" s="1">
        <v>44528</v>
      </c>
    </row>
    <row r="609" spans="1:1" x14ac:dyDescent="0.25">
      <c r="A609" s="1">
        <v>44529</v>
      </c>
    </row>
    <row r="610" spans="1:1" x14ac:dyDescent="0.25">
      <c r="A610" s="1">
        <v>44530</v>
      </c>
    </row>
    <row r="611" spans="1:1" x14ac:dyDescent="0.25">
      <c r="A611" s="1">
        <v>44531</v>
      </c>
    </row>
    <row r="612" spans="1:1" x14ac:dyDescent="0.25">
      <c r="A612" s="1">
        <v>44532</v>
      </c>
    </row>
    <row r="613" spans="1:1" x14ac:dyDescent="0.25">
      <c r="A613" s="1">
        <v>44533</v>
      </c>
    </row>
    <row r="614" spans="1:1" x14ac:dyDescent="0.25">
      <c r="A614" s="1">
        <v>44534</v>
      </c>
    </row>
    <row r="615" spans="1:1" x14ac:dyDescent="0.25">
      <c r="A615" s="1">
        <v>44535</v>
      </c>
    </row>
    <row r="616" spans="1:1" x14ac:dyDescent="0.25">
      <c r="A616" s="1">
        <v>44536</v>
      </c>
    </row>
    <row r="617" spans="1:1" x14ac:dyDescent="0.25">
      <c r="A617" s="1">
        <v>44537</v>
      </c>
    </row>
    <row r="618" spans="1:1" x14ac:dyDescent="0.25">
      <c r="A618" s="1">
        <v>44538</v>
      </c>
    </row>
    <row r="619" spans="1:1" x14ac:dyDescent="0.25">
      <c r="A619" s="1">
        <v>44539</v>
      </c>
    </row>
    <row r="620" spans="1:1" x14ac:dyDescent="0.25">
      <c r="A620" s="1">
        <v>44540</v>
      </c>
    </row>
    <row r="621" spans="1:1" x14ac:dyDescent="0.25">
      <c r="A621" s="1">
        <v>44541</v>
      </c>
    </row>
    <row r="622" spans="1:1" x14ac:dyDescent="0.25">
      <c r="A622" s="1">
        <v>44542</v>
      </c>
    </row>
    <row r="623" spans="1:1" x14ac:dyDescent="0.25">
      <c r="A623" s="1">
        <v>44543</v>
      </c>
    </row>
    <row r="624" spans="1:1" x14ac:dyDescent="0.25">
      <c r="A624" s="1">
        <v>44544</v>
      </c>
    </row>
    <row r="625" spans="1:1" x14ac:dyDescent="0.25">
      <c r="A625" s="1">
        <v>44545</v>
      </c>
    </row>
    <row r="626" spans="1:1" x14ac:dyDescent="0.25">
      <c r="A626" s="1">
        <v>44546</v>
      </c>
    </row>
    <row r="627" spans="1:1" x14ac:dyDescent="0.25">
      <c r="A627" s="1">
        <v>44547</v>
      </c>
    </row>
    <row r="628" spans="1:1" x14ac:dyDescent="0.25">
      <c r="A628" s="1">
        <v>44548</v>
      </c>
    </row>
    <row r="629" spans="1:1" x14ac:dyDescent="0.25">
      <c r="A629" s="1">
        <v>44549</v>
      </c>
    </row>
    <row r="630" spans="1:1" x14ac:dyDescent="0.25">
      <c r="A630" s="1">
        <v>44550</v>
      </c>
    </row>
    <row r="631" spans="1:1" x14ac:dyDescent="0.25">
      <c r="A631" s="1">
        <v>44551</v>
      </c>
    </row>
    <row r="632" spans="1:1" x14ac:dyDescent="0.25">
      <c r="A632" s="1">
        <v>44552</v>
      </c>
    </row>
    <row r="633" spans="1:1" x14ac:dyDescent="0.25">
      <c r="A633" s="1">
        <v>44553</v>
      </c>
    </row>
    <row r="634" spans="1:1" x14ac:dyDescent="0.25">
      <c r="A634" s="1">
        <v>44554</v>
      </c>
    </row>
    <row r="635" spans="1:1" x14ac:dyDescent="0.25">
      <c r="A635" s="1">
        <v>44555</v>
      </c>
    </row>
    <row r="636" spans="1:1" x14ac:dyDescent="0.25">
      <c r="A636" s="1">
        <v>44556</v>
      </c>
    </row>
    <row r="637" spans="1:1" x14ac:dyDescent="0.25">
      <c r="A637" s="1">
        <v>44557</v>
      </c>
    </row>
    <row r="638" spans="1:1" x14ac:dyDescent="0.25">
      <c r="A638" s="1">
        <v>44558</v>
      </c>
    </row>
    <row r="639" spans="1:1" x14ac:dyDescent="0.25">
      <c r="A639" s="1">
        <v>44559</v>
      </c>
    </row>
    <row r="640" spans="1:1" x14ac:dyDescent="0.25">
      <c r="A640" s="1">
        <v>44560</v>
      </c>
    </row>
    <row r="641" spans="1:1" x14ac:dyDescent="0.25">
      <c r="A641" s="1">
        <v>44561</v>
      </c>
    </row>
    <row r="642" spans="1:1" x14ac:dyDescent="0.25">
      <c r="A642" s="1">
        <v>44562</v>
      </c>
    </row>
    <row r="643" spans="1:1" x14ac:dyDescent="0.25">
      <c r="A643" s="1">
        <v>44563</v>
      </c>
    </row>
    <row r="644" spans="1:1" x14ac:dyDescent="0.25">
      <c r="A644" s="1">
        <v>44564</v>
      </c>
    </row>
    <row r="645" spans="1:1" x14ac:dyDescent="0.25">
      <c r="A645" s="1">
        <v>44565</v>
      </c>
    </row>
    <row r="646" spans="1:1" x14ac:dyDescent="0.25">
      <c r="A646" s="1">
        <v>44566</v>
      </c>
    </row>
    <row r="647" spans="1:1" x14ac:dyDescent="0.25">
      <c r="A647" s="1">
        <v>44567</v>
      </c>
    </row>
    <row r="648" spans="1:1" x14ac:dyDescent="0.25">
      <c r="A648" s="1">
        <v>44568</v>
      </c>
    </row>
    <row r="649" spans="1:1" x14ac:dyDescent="0.25">
      <c r="A649" s="1">
        <v>44569</v>
      </c>
    </row>
    <row r="650" spans="1:1" x14ac:dyDescent="0.25">
      <c r="A650" s="1">
        <v>44570</v>
      </c>
    </row>
    <row r="651" spans="1:1" x14ac:dyDescent="0.25">
      <c r="A651" s="1">
        <v>44571</v>
      </c>
    </row>
    <row r="652" spans="1:1" x14ac:dyDescent="0.25">
      <c r="A652" s="1">
        <v>44572</v>
      </c>
    </row>
    <row r="653" spans="1:1" x14ac:dyDescent="0.25">
      <c r="A653" s="1">
        <v>44573</v>
      </c>
    </row>
    <row r="654" spans="1:1" x14ac:dyDescent="0.25">
      <c r="A654" s="1">
        <v>44574</v>
      </c>
    </row>
    <row r="655" spans="1:1" x14ac:dyDescent="0.25">
      <c r="A655" s="1">
        <v>44575</v>
      </c>
    </row>
    <row r="656" spans="1:1" x14ac:dyDescent="0.25">
      <c r="A656" s="1">
        <v>44576</v>
      </c>
    </row>
    <row r="657" spans="1:1" x14ac:dyDescent="0.25">
      <c r="A657" s="1">
        <v>44577</v>
      </c>
    </row>
    <row r="658" spans="1:1" x14ac:dyDescent="0.25">
      <c r="A658" s="1">
        <v>44578</v>
      </c>
    </row>
    <row r="659" spans="1:1" x14ac:dyDescent="0.25">
      <c r="A659" s="1">
        <v>44579</v>
      </c>
    </row>
    <row r="660" spans="1:1" x14ac:dyDescent="0.25">
      <c r="A660" s="1">
        <v>44580</v>
      </c>
    </row>
    <row r="661" spans="1:1" x14ac:dyDescent="0.25">
      <c r="A661" s="1">
        <v>44581</v>
      </c>
    </row>
    <row r="662" spans="1:1" x14ac:dyDescent="0.25">
      <c r="A662" s="1">
        <v>44582</v>
      </c>
    </row>
    <row r="663" spans="1:1" x14ac:dyDescent="0.25">
      <c r="A663" s="1">
        <v>44583</v>
      </c>
    </row>
    <row r="664" spans="1:1" x14ac:dyDescent="0.25">
      <c r="A664" s="1">
        <v>44584</v>
      </c>
    </row>
    <row r="665" spans="1:1" x14ac:dyDescent="0.25">
      <c r="A665" s="1">
        <v>44585</v>
      </c>
    </row>
    <row r="666" spans="1:1" x14ac:dyDescent="0.25">
      <c r="A666" s="1">
        <v>44586</v>
      </c>
    </row>
    <row r="667" spans="1:1" x14ac:dyDescent="0.25">
      <c r="A667" s="1">
        <v>44587</v>
      </c>
    </row>
    <row r="668" spans="1:1" x14ac:dyDescent="0.25">
      <c r="A668" s="1">
        <v>44588</v>
      </c>
    </row>
    <row r="669" spans="1:1" x14ac:dyDescent="0.25">
      <c r="A669" s="1">
        <v>44589</v>
      </c>
    </row>
    <row r="670" spans="1:1" x14ac:dyDescent="0.25">
      <c r="A670" s="1">
        <v>44590</v>
      </c>
    </row>
    <row r="671" spans="1:1" x14ac:dyDescent="0.25">
      <c r="A671" s="1">
        <v>44591</v>
      </c>
    </row>
    <row r="672" spans="1:1" x14ac:dyDescent="0.25">
      <c r="A672" s="1">
        <v>44592</v>
      </c>
    </row>
    <row r="673" spans="1:1" x14ac:dyDescent="0.25">
      <c r="A673" s="1">
        <v>44593</v>
      </c>
    </row>
    <row r="674" spans="1:1" x14ac:dyDescent="0.25">
      <c r="A674" s="1">
        <v>44594</v>
      </c>
    </row>
    <row r="675" spans="1:1" x14ac:dyDescent="0.25">
      <c r="A675" s="1">
        <v>44595</v>
      </c>
    </row>
    <row r="676" spans="1:1" x14ac:dyDescent="0.25">
      <c r="A676" s="1">
        <v>44596</v>
      </c>
    </row>
    <row r="677" spans="1:1" x14ac:dyDescent="0.25">
      <c r="A677" s="1">
        <v>44597</v>
      </c>
    </row>
    <row r="678" spans="1:1" x14ac:dyDescent="0.25">
      <c r="A678" s="1">
        <v>44598</v>
      </c>
    </row>
    <row r="679" spans="1:1" x14ac:dyDescent="0.25">
      <c r="A679" s="1">
        <v>44599</v>
      </c>
    </row>
    <row r="680" spans="1:1" x14ac:dyDescent="0.25">
      <c r="A680" s="1">
        <v>44600</v>
      </c>
    </row>
    <row r="681" spans="1:1" x14ac:dyDescent="0.25">
      <c r="A681" s="1">
        <v>44601</v>
      </c>
    </row>
    <row r="682" spans="1:1" x14ac:dyDescent="0.25">
      <c r="A682" s="1">
        <v>44602</v>
      </c>
    </row>
    <row r="683" spans="1:1" x14ac:dyDescent="0.25">
      <c r="A683" s="1">
        <v>44603</v>
      </c>
    </row>
    <row r="684" spans="1:1" x14ac:dyDescent="0.25">
      <c r="A684" s="1">
        <v>44604</v>
      </c>
    </row>
    <row r="685" spans="1:1" x14ac:dyDescent="0.25">
      <c r="A685" s="1">
        <v>44605</v>
      </c>
    </row>
    <row r="686" spans="1:1" x14ac:dyDescent="0.25">
      <c r="A686" s="1">
        <v>44606</v>
      </c>
    </row>
    <row r="687" spans="1:1" x14ac:dyDescent="0.25">
      <c r="A687" s="1">
        <v>44607</v>
      </c>
    </row>
    <row r="688" spans="1:1" x14ac:dyDescent="0.25">
      <c r="A688" s="1">
        <v>44608</v>
      </c>
    </row>
    <row r="689" spans="1:1" x14ac:dyDescent="0.25">
      <c r="A689" s="1">
        <v>44609</v>
      </c>
    </row>
    <row r="690" spans="1:1" x14ac:dyDescent="0.25">
      <c r="A690" s="1">
        <v>44610</v>
      </c>
    </row>
    <row r="691" spans="1:1" x14ac:dyDescent="0.25">
      <c r="A691" s="1">
        <v>44611</v>
      </c>
    </row>
    <row r="692" spans="1:1" x14ac:dyDescent="0.25">
      <c r="A692" s="1">
        <v>44612</v>
      </c>
    </row>
    <row r="693" spans="1:1" x14ac:dyDescent="0.25">
      <c r="A693" s="1">
        <v>44613</v>
      </c>
    </row>
    <row r="694" spans="1:1" x14ac:dyDescent="0.25">
      <c r="A694" s="1">
        <v>44614</v>
      </c>
    </row>
    <row r="695" spans="1:1" x14ac:dyDescent="0.25">
      <c r="A695" s="1">
        <v>44615</v>
      </c>
    </row>
    <row r="696" spans="1:1" x14ac:dyDescent="0.25">
      <c r="A696" s="1">
        <v>44616</v>
      </c>
    </row>
    <row r="697" spans="1:1" x14ac:dyDescent="0.25">
      <c r="A697" s="1">
        <v>44617</v>
      </c>
    </row>
    <row r="698" spans="1:1" x14ac:dyDescent="0.25">
      <c r="A698" s="1">
        <v>44618</v>
      </c>
    </row>
    <row r="699" spans="1:1" x14ac:dyDescent="0.25">
      <c r="A699" s="1">
        <v>44619</v>
      </c>
    </row>
    <row r="700" spans="1:1" x14ac:dyDescent="0.25">
      <c r="A700" s="1">
        <v>44620</v>
      </c>
    </row>
    <row r="701" spans="1:1" x14ac:dyDescent="0.25">
      <c r="A701" s="1">
        <v>44621</v>
      </c>
    </row>
    <row r="702" spans="1:1" x14ac:dyDescent="0.25">
      <c r="A702" s="1">
        <v>44622</v>
      </c>
    </row>
    <row r="703" spans="1:1" x14ac:dyDescent="0.25">
      <c r="A703" s="1">
        <v>44623</v>
      </c>
    </row>
    <row r="704" spans="1:1" x14ac:dyDescent="0.25">
      <c r="A704" s="1">
        <v>44624</v>
      </c>
    </row>
    <row r="705" spans="1:1" x14ac:dyDescent="0.25">
      <c r="A705" s="1">
        <v>44625</v>
      </c>
    </row>
    <row r="706" spans="1:1" x14ac:dyDescent="0.25">
      <c r="A706" s="1">
        <v>44626</v>
      </c>
    </row>
    <row r="707" spans="1:1" x14ac:dyDescent="0.25">
      <c r="A707" s="1">
        <v>44627</v>
      </c>
    </row>
    <row r="708" spans="1:1" x14ac:dyDescent="0.25">
      <c r="A708" s="1">
        <v>44628</v>
      </c>
    </row>
    <row r="709" spans="1:1" x14ac:dyDescent="0.25">
      <c r="A709" s="1">
        <v>44629</v>
      </c>
    </row>
    <row r="710" spans="1:1" x14ac:dyDescent="0.25">
      <c r="A710" s="1">
        <v>44630</v>
      </c>
    </row>
    <row r="711" spans="1:1" x14ac:dyDescent="0.25">
      <c r="A711" s="1">
        <v>44631</v>
      </c>
    </row>
    <row r="712" spans="1:1" x14ac:dyDescent="0.25">
      <c r="A712" s="1">
        <v>44632</v>
      </c>
    </row>
    <row r="713" spans="1:1" x14ac:dyDescent="0.25">
      <c r="A713" s="1">
        <v>44633</v>
      </c>
    </row>
    <row r="714" spans="1:1" x14ac:dyDescent="0.25">
      <c r="A714" s="1">
        <v>44634</v>
      </c>
    </row>
    <row r="715" spans="1:1" x14ac:dyDescent="0.25">
      <c r="A715" s="1">
        <v>44635</v>
      </c>
    </row>
    <row r="716" spans="1:1" x14ac:dyDescent="0.25">
      <c r="A716" s="1">
        <v>44636</v>
      </c>
    </row>
    <row r="717" spans="1:1" x14ac:dyDescent="0.25">
      <c r="A717" s="1">
        <v>44637</v>
      </c>
    </row>
    <row r="718" spans="1:1" x14ac:dyDescent="0.25">
      <c r="A718" s="1">
        <v>44638</v>
      </c>
    </row>
    <row r="719" spans="1:1" x14ac:dyDescent="0.25">
      <c r="A719" s="1">
        <v>44639</v>
      </c>
    </row>
    <row r="720" spans="1:1" x14ac:dyDescent="0.25">
      <c r="A720" s="1">
        <v>44640</v>
      </c>
    </row>
    <row r="721" spans="1:1" x14ac:dyDescent="0.25">
      <c r="A721" s="1">
        <v>44641</v>
      </c>
    </row>
    <row r="722" spans="1:1" x14ac:dyDescent="0.25">
      <c r="A722" s="1">
        <v>44642</v>
      </c>
    </row>
    <row r="723" spans="1:1" x14ac:dyDescent="0.25">
      <c r="A723" s="1">
        <v>44643</v>
      </c>
    </row>
    <row r="724" spans="1:1" x14ac:dyDescent="0.25">
      <c r="A724" s="1">
        <v>44644</v>
      </c>
    </row>
    <row r="725" spans="1:1" x14ac:dyDescent="0.25">
      <c r="A725" s="1">
        <v>44645</v>
      </c>
    </row>
    <row r="726" spans="1:1" x14ac:dyDescent="0.25">
      <c r="A726" s="1">
        <v>44646</v>
      </c>
    </row>
    <row r="727" spans="1:1" x14ac:dyDescent="0.25">
      <c r="A727" s="1">
        <v>44647</v>
      </c>
    </row>
    <row r="728" spans="1:1" x14ac:dyDescent="0.25">
      <c r="A728" s="1">
        <v>44648</v>
      </c>
    </row>
    <row r="729" spans="1:1" x14ac:dyDescent="0.25">
      <c r="A729" s="1">
        <v>44649</v>
      </c>
    </row>
    <row r="730" spans="1:1" x14ac:dyDescent="0.25">
      <c r="A730" s="1">
        <v>44650</v>
      </c>
    </row>
    <row r="731" spans="1:1" x14ac:dyDescent="0.25">
      <c r="A731" s="1">
        <v>44651</v>
      </c>
    </row>
    <row r="732" spans="1:1" x14ac:dyDescent="0.25">
      <c r="A732" s="1">
        <v>44652</v>
      </c>
    </row>
    <row r="733" spans="1:1" x14ac:dyDescent="0.25">
      <c r="A733" s="1">
        <v>44653</v>
      </c>
    </row>
    <row r="734" spans="1:1" x14ac:dyDescent="0.25">
      <c r="A734" s="1">
        <v>44654</v>
      </c>
    </row>
    <row r="735" spans="1:1" x14ac:dyDescent="0.25">
      <c r="A735" s="1">
        <v>44655</v>
      </c>
    </row>
    <row r="736" spans="1:1" x14ac:dyDescent="0.25">
      <c r="A736" s="1">
        <v>44656</v>
      </c>
    </row>
    <row r="737" spans="1:1" x14ac:dyDescent="0.25">
      <c r="A737" s="1">
        <v>44657</v>
      </c>
    </row>
    <row r="738" spans="1:1" x14ac:dyDescent="0.25">
      <c r="A738" s="1">
        <v>44658</v>
      </c>
    </row>
    <row r="739" spans="1:1" x14ac:dyDescent="0.25">
      <c r="A739" s="1">
        <v>44659</v>
      </c>
    </row>
    <row r="740" spans="1:1" x14ac:dyDescent="0.25">
      <c r="A740" s="1">
        <v>44660</v>
      </c>
    </row>
    <row r="741" spans="1:1" x14ac:dyDescent="0.25">
      <c r="A741" s="1">
        <v>44661</v>
      </c>
    </row>
    <row r="742" spans="1:1" x14ac:dyDescent="0.25">
      <c r="A742" s="1">
        <v>44662</v>
      </c>
    </row>
    <row r="743" spans="1:1" x14ac:dyDescent="0.25">
      <c r="A743" s="1">
        <v>44663</v>
      </c>
    </row>
    <row r="744" spans="1:1" x14ac:dyDescent="0.25">
      <c r="A744" s="1">
        <v>44664</v>
      </c>
    </row>
    <row r="745" spans="1:1" x14ac:dyDescent="0.25">
      <c r="A745" s="1">
        <v>44665</v>
      </c>
    </row>
    <row r="746" spans="1:1" x14ac:dyDescent="0.25">
      <c r="A746" s="1">
        <v>44666</v>
      </c>
    </row>
    <row r="747" spans="1:1" x14ac:dyDescent="0.25">
      <c r="A747" s="1">
        <v>44667</v>
      </c>
    </row>
    <row r="748" spans="1:1" x14ac:dyDescent="0.25">
      <c r="A748" s="1">
        <v>44668</v>
      </c>
    </row>
    <row r="749" spans="1:1" x14ac:dyDescent="0.25">
      <c r="A749" s="1">
        <v>44669</v>
      </c>
    </row>
    <row r="750" spans="1:1" x14ac:dyDescent="0.25">
      <c r="A750" s="1">
        <v>44670</v>
      </c>
    </row>
    <row r="751" spans="1:1" x14ac:dyDescent="0.25">
      <c r="A751" s="1">
        <v>44671</v>
      </c>
    </row>
    <row r="752" spans="1:1" x14ac:dyDescent="0.25">
      <c r="A752" s="1">
        <v>44672</v>
      </c>
    </row>
    <row r="753" spans="1:1" x14ac:dyDescent="0.25">
      <c r="A753" s="1">
        <v>44673</v>
      </c>
    </row>
    <row r="754" spans="1:1" x14ac:dyDescent="0.25">
      <c r="A754" s="1">
        <v>44674</v>
      </c>
    </row>
    <row r="755" spans="1:1" x14ac:dyDescent="0.25">
      <c r="A755" s="1">
        <v>44675</v>
      </c>
    </row>
    <row r="756" spans="1:1" x14ac:dyDescent="0.25">
      <c r="A756" s="1">
        <v>44676</v>
      </c>
    </row>
    <row r="757" spans="1:1" x14ac:dyDescent="0.25">
      <c r="A757" s="1">
        <v>44677</v>
      </c>
    </row>
    <row r="758" spans="1:1" x14ac:dyDescent="0.25">
      <c r="A758" s="1">
        <v>44678</v>
      </c>
    </row>
    <row r="759" spans="1:1" x14ac:dyDescent="0.25">
      <c r="A759" s="1">
        <v>44679</v>
      </c>
    </row>
    <row r="760" spans="1:1" x14ac:dyDescent="0.25">
      <c r="A760" s="1">
        <v>44680</v>
      </c>
    </row>
    <row r="761" spans="1:1" x14ac:dyDescent="0.25">
      <c r="A761" s="1">
        <v>44681</v>
      </c>
    </row>
    <row r="762" spans="1:1" x14ac:dyDescent="0.25">
      <c r="A762" s="1">
        <v>44682</v>
      </c>
    </row>
    <row r="763" spans="1:1" x14ac:dyDescent="0.25">
      <c r="A763" s="1">
        <v>44683</v>
      </c>
    </row>
    <row r="764" spans="1:1" x14ac:dyDescent="0.25">
      <c r="A764" s="1">
        <v>44684</v>
      </c>
    </row>
    <row r="765" spans="1:1" x14ac:dyDescent="0.25">
      <c r="A765" s="1">
        <v>44685</v>
      </c>
    </row>
    <row r="766" spans="1:1" x14ac:dyDescent="0.25">
      <c r="A766" s="1">
        <v>44686</v>
      </c>
    </row>
    <row r="767" spans="1:1" x14ac:dyDescent="0.25">
      <c r="A767" s="1">
        <v>44687</v>
      </c>
    </row>
    <row r="768" spans="1:1" x14ac:dyDescent="0.25">
      <c r="A768" s="1">
        <v>44688</v>
      </c>
    </row>
    <row r="769" spans="1:1" x14ac:dyDescent="0.25">
      <c r="A769" s="1">
        <v>44689</v>
      </c>
    </row>
    <row r="770" spans="1:1" x14ac:dyDescent="0.25">
      <c r="A770" s="1">
        <v>44690</v>
      </c>
    </row>
    <row r="771" spans="1:1" x14ac:dyDescent="0.25">
      <c r="A771" s="1">
        <v>44691</v>
      </c>
    </row>
    <row r="772" spans="1:1" x14ac:dyDescent="0.25">
      <c r="A772" s="1">
        <v>44692</v>
      </c>
    </row>
    <row r="773" spans="1:1" x14ac:dyDescent="0.25">
      <c r="A773" s="1">
        <v>44693</v>
      </c>
    </row>
    <row r="774" spans="1:1" x14ac:dyDescent="0.25">
      <c r="A774" s="1">
        <v>44694</v>
      </c>
    </row>
    <row r="775" spans="1:1" x14ac:dyDescent="0.25">
      <c r="A775" s="1">
        <v>44695</v>
      </c>
    </row>
    <row r="776" spans="1:1" x14ac:dyDescent="0.25">
      <c r="A776" s="1">
        <v>44696</v>
      </c>
    </row>
    <row r="777" spans="1:1" x14ac:dyDescent="0.25">
      <c r="A777" s="1">
        <v>44697</v>
      </c>
    </row>
    <row r="778" spans="1:1" x14ac:dyDescent="0.25">
      <c r="A778" s="1">
        <v>44698</v>
      </c>
    </row>
    <row r="779" spans="1:1" x14ac:dyDescent="0.25">
      <c r="A779" s="1">
        <v>44699</v>
      </c>
    </row>
    <row r="780" spans="1:1" x14ac:dyDescent="0.25">
      <c r="A780" s="1">
        <v>44700</v>
      </c>
    </row>
    <row r="781" spans="1:1" x14ac:dyDescent="0.25">
      <c r="A781" s="1">
        <v>44701</v>
      </c>
    </row>
    <row r="782" spans="1:1" x14ac:dyDescent="0.25">
      <c r="A782" s="1">
        <v>44702</v>
      </c>
    </row>
    <row r="783" spans="1:1" x14ac:dyDescent="0.25">
      <c r="A783" s="1">
        <v>44703</v>
      </c>
    </row>
    <row r="784" spans="1:1" x14ac:dyDescent="0.25">
      <c r="A784" s="1">
        <v>44704</v>
      </c>
    </row>
    <row r="785" spans="1:1" x14ac:dyDescent="0.25">
      <c r="A785" s="1">
        <v>44705</v>
      </c>
    </row>
    <row r="786" spans="1:1" x14ac:dyDescent="0.25">
      <c r="A786" s="1">
        <v>44706</v>
      </c>
    </row>
    <row r="787" spans="1:1" x14ac:dyDescent="0.25">
      <c r="A787" s="1">
        <v>44707</v>
      </c>
    </row>
    <row r="788" spans="1:1" x14ac:dyDescent="0.25">
      <c r="A788" s="1">
        <v>44708</v>
      </c>
    </row>
    <row r="789" spans="1:1" x14ac:dyDescent="0.25">
      <c r="A789" s="1">
        <v>44709</v>
      </c>
    </row>
    <row r="790" spans="1:1" x14ac:dyDescent="0.25">
      <c r="A790" s="1">
        <v>44710</v>
      </c>
    </row>
    <row r="791" spans="1:1" x14ac:dyDescent="0.25">
      <c r="A791" s="1">
        <v>44711</v>
      </c>
    </row>
    <row r="792" spans="1:1" x14ac:dyDescent="0.25">
      <c r="A792" s="1">
        <v>44712</v>
      </c>
    </row>
    <row r="793" spans="1:1" x14ac:dyDescent="0.25">
      <c r="A793" s="1">
        <v>44713</v>
      </c>
    </row>
    <row r="794" spans="1:1" x14ac:dyDescent="0.25">
      <c r="A794" s="1">
        <v>44714</v>
      </c>
    </row>
    <row r="795" spans="1:1" x14ac:dyDescent="0.25">
      <c r="A795" s="1">
        <v>44715</v>
      </c>
    </row>
    <row r="796" spans="1:1" x14ac:dyDescent="0.25">
      <c r="A796" s="1">
        <v>44716</v>
      </c>
    </row>
    <row r="797" spans="1:1" x14ac:dyDescent="0.25">
      <c r="A797" s="1">
        <v>44717</v>
      </c>
    </row>
    <row r="798" spans="1:1" x14ac:dyDescent="0.25">
      <c r="A798" s="1">
        <v>44718</v>
      </c>
    </row>
    <row r="799" spans="1:1" x14ac:dyDescent="0.25">
      <c r="A799" s="1">
        <v>44719</v>
      </c>
    </row>
    <row r="800" spans="1:1" x14ac:dyDescent="0.25">
      <c r="A800" s="1">
        <v>44720</v>
      </c>
    </row>
    <row r="801" spans="1:1" x14ac:dyDescent="0.25">
      <c r="A801" s="1">
        <v>44721</v>
      </c>
    </row>
    <row r="802" spans="1:1" x14ac:dyDescent="0.25">
      <c r="A802" s="1">
        <v>44722</v>
      </c>
    </row>
    <row r="803" spans="1:1" x14ac:dyDescent="0.25">
      <c r="A803" s="1">
        <v>44723</v>
      </c>
    </row>
    <row r="804" spans="1:1" x14ac:dyDescent="0.25">
      <c r="A804" s="1">
        <v>44724</v>
      </c>
    </row>
    <row r="805" spans="1:1" x14ac:dyDescent="0.25">
      <c r="A805" s="1">
        <v>44725</v>
      </c>
    </row>
    <row r="806" spans="1:1" x14ac:dyDescent="0.25">
      <c r="A806" s="1">
        <v>44726</v>
      </c>
    </row>
    <row r="807" spans="1:1" x14ac:dyDescent="0.25">
      <c r="A807" s="1">
        <v>44727</v>
      </c>
    </row>
    <row r="808" spans="1:1" x14ac:dyDescent="0.25">
      <c r="A808" s="1">
        <v>44728</v>
      </c>
    </row>
    <row r="809" spans="1:1" x14ac:dyDescent="0.25">
      <c r="A809" s="1">
        <v>44729</v>
      </c>
    </row>
    <row r="810" spans="1:1" x14ac:dyDescent="0.25">
      <c r="A810" s="1">
        <v>44730</v>
      </c>
    </row>
    <row r="811" spans="1:1" x14ac:dyDescent="0.25">
      <c r="A811" s="1">
        <v>44731</v>
      </c>
    </row>
    <row r="812" spans="1:1" x14ac:dyDescent="0.25">
      <c r="A812" s="1">
        <v>44732</v>
      </c>
    </row>
    <row r="813" spans="1:1" x14ac:dyDescent="0.25">
      <c r="A813" s="1">
        <v>44733</v>
      </c>
    </row>
    <row r="814" spans="1:1" x14ac:dyDescent="0.25">
      <c r="A814" s="1">
        <v>44734</v>
      </c>
    </row>
    <row r="815" spans="1:1" x14ac:dyDescent="0.25">
      <c r="A815" s="1">
        <v>44735</v>
      </c>
    </row>
    <row r="816" spans="1:1" x14ac:dyDescent="0.25">
      <c r="A816" s="1">
        <v>44736</v>
      </c>
    </row>
    <row r="817" spans="1:1" x14ac:dyDescent="0.25">
      <c r="A817" s="1">
        <v>44737</v>
      </c>
    </row>
    <row r="818" spans="1:1" x14ac:dyDescent="0.25">
      <c r="A818" s="1">
        <v>44738</v>
      </c>
    </row>
    <row r="819" spans="1:1" x14ac:dyDescent="0.25">
      <c r="A819" s="1">
        <v>44739</v>
      </c>
    </row>
    <row r="820" spans="1:1" x14ac:dyDescent="0.25">
      <c r="A820" s="1">
        <v>44740</v>
      </c>
    </row>
    <row r="821" spans="1:1" x14ac:dyDescent="0.25">
      <c r="A821" s="1">
        <v>44741</v>
      </c>
    </row>
    <row r="822" spans="1:1" x14ac:dyDescent="0.25">
      <c r="A822" s="1">
        <v>44742</v>
      </c>
    </row>
    <row r="823" spans="1:1" x14ac:dyDescent="0.25">
      <c r="A823" s="1">
        <v>44743</v>
      </c>
    </row>
    <row r="824" spans="1:1" x14ac:dyDescent="0.25">
      <c r="A824" s="1">
        <v>44744</v>
      </c>
    </row>
    <row r="825" spans="1:1" x14ac:dyDescent="0.25">
      <c r="A825" s="1">
        <v>44745</v>
      </c>
    </row>
    <row r="826" spans="1:1" x14ac:dyDescent="0.25">
      <c r="A826" s="1">
        <v>44746</v>
      </c>
    </row>
    <row r="827" spans="1:1" x14ac:dyDescent="0.25">
      <c r="A827" s="1">
        <v>44747</v>
      </c>
    </row>
    <row r="828" spans="1:1" x14ac:dyDescent="0.25">
      <c r="A828" s="1">
        <v>44748</v>
      </c>
    </row>
    <row r="829" spans="1:1" x14ac:dyDescent="0.25">
      <c r="A829" s="1">
        <v>44749</v>
      </c>
    </row>
    <row r="830" spans="1:1" x14ac:dyDescent="0.25">
      <c r="A830" s="1">
        <v>44750</v>
      </c>
    </row>
    <row r="831" spans="1:1" x14ac:dyDescent="0.25">
      <c r="A831" s="1">
        <v>44751</v>
      </c>
    </row>
    <row r="832" spans="1:1" x14ac:dyDescent="0.25">
      <c r="A832" s="1">
        <v>44752</v>
      </c>
    </row>
    <row r="833" spans="1:1" x14ac:dyDescent="0.25">
      <c r="A833" s="1">
        <v>44753</v>
      </c>
    </row>
    <row r="834" spans="1:1" x14ac:dyDescent="0.25">
      <c r="A834" s="1">
        <v>44754</v>
      </c>
    </row>
    <row r="835" spans="1:1" x14ac:dyDescent="0.25">
      <c r="A835" s="1">
        <v>44755</v>
      </c>
    </row>
    <row r="836" spans="1:1" x14ac:dyDescent="0.25">
      <c r="A836" s="1">
        <v>44756</v>
      </c>
    </row>
    <row r="837" spans="1:1" x14ac:dyDescent="0.25">
      <c r="A837" s="1">
        <v>44757</v>
      </c>
    </row>
    <row r="838" spans="1:1" x14ac:dyDescent="0.25">
      <c r="A838" s="1">
        <v>44758</v>
      </c>
    </row>
    <row r="839" spans="1:1" x14ac:dyDescent="0.25">
      <c r="A839" s="1">
        <v>44759</v>
      </c>
    </row>
    <row r="840" spans="1:1" x14ac:dyDescent="0.25">
      <c r="A840" s="1">
        <v>44760</v>
      </c>
    </row>
    <row r="841" spans="1:1" x14ac:dyDescent="0.25">
      <c r="A841" s="1">
        <v>44761</v>
      </c>
    </row>
    <row r="842" spans="1:1" x14ac:dyDescent="0.25">
      <c r="A842" s="1">
        <v>44762</v>
      </c>
    </row>
    <row r="843" spans="1:1" x14ac:dyDescent="0.25">
      <c r="A843" s="1">
        <v>44763</v>
      </c>
    </row>
    <row r="844" spans="1:1" x14ac:dyDescent="0.25">
      <c r="A844" s="1">
        <v>44764</v>
      </c>
    </row>
    <row r="845" spans="1:1" x14ac:dyDescent="0.25">
      <c r="A845" s="1">
        <v>44765</v>
      </c>
    </row>
    <row r="846" spans="1:1" x14ac:dyDescent="0.25">
      <c r="A846" s="1">
        <v>44766</v>
      </c>
    </row>
    <row r="847" spans="1:1" x14ac:dyDescent="0.25">
      <c r="A847" s="1">
        <v>44767</v>
      </c>
    </row>
    <row r="848" spans="1:1" x14ac:dyDescent="0.25">
      <c r="A848" s="1">
        <v>44768</v>
      </c>
    </row>
    <row r="849" spans="1:1" x14ac:dyDescent="0.25">
      <c r="A849" s="1">
        <v>44769</v>
      </c>
    </row>
    <row r="850" spans="1:1" x14ac:dyDescent="0.25">
      <c r="A850" s="1">
        <v>44770</v>
      </c>
    </row>
    <row r="851" spans="1:1" x14ac:dyDescent="0.25">
      <c r="A851" s="1">
        <v>44771</v>
      </c>
    </row>
    <row r="852" spans="1:1" x14ac:dyDescent="0.25">
      <c r="A852" s="1">
        <v>44772</v>
      </c>
    </row>
    <row r="853" spans="1:1" x14ac:dyDescent="0.25">
      <c r="A853" s="1">
        <v>44773</v>
      </c>
    </row>
    <row r="854" spans="1:1" x14ac:dyDescent="0.25">
      <c r="A854" s="1">
        <v>44774</v>
      </c>
    </row>
    <row r="855" spans="1:1" x14ac:dyDescent="0.25">
      <c r="A855" s="1">
        <v>44775</v>
      </c>
    </row>
    <row r="856" spans="1:1" x14ac:dyDescent="0.25">
      <c r="A856" s="1">
        <v>44776</v>
      </c>
    </row>
    <row r="857" spans="1:1" x14ac:dyDescent="0.25">
      <c r="A857" s="1">
        <v>44777</v>
      </c>
    </row>
    <row r="858" spans="1:1" x14ac:dyDescent="0.25">
      <c r="A858" s="1">
        <v>44778</v>
      </c>
    </row>
    <row r="859" spans="1:1" x14ac:dyDescent="0.25">
      <c r="A859" s="1">
        <v>44779</v>
      </c>
    </row>
    <row r="860" spans="1:1" x14ac:dyDescent="0.25">
      <c r="A860" s="1">
        <v>44780</v>
      </c>
    </row>
    <row r="861" spans="1:1" x14ac:dyDescent="0.25">
      <c r="A861" s="1">
        <v>44781</v>
      </c>
    </row>
    <row r="862" spans="1:1" x14ac:dyDescent="0.25">
      <c r="A862" s="1">
        <v>44782</v>
      </c>
    </row>
    <row r="863" spans="1:1" x14ac:dyDescent="0.25">
      <c r="A863" s="1">
        <v>44783</v>
      </c>
    </row>
    <row r="864" spans="1:1" x14ac:dyDescent="0.25">
      <c r="A864" s="1">
        <v>44784</v>
      </c>
    </row>
    <row r="865" spans="1:1" x14ac:dyDescent="0.25">
      <c r="A865" s="1">
        <v>44785</v>
      </c>
    </row>
    <row r="866" spans="1:1" x14ac:dyDescent="0.25">
      <c r="A866" s="1">
        <v>44786</v>
      </c>
    </row>
    <row r="867" spans="1:1" x14ac:dyDescent="0.25">
      <c r="A867" s="1">
        <v>44787</v>
      </c>
    </row>
    <row r="868" spans="1:1" x14ac:dyDescent="0.25">
      <c r="A868" s="1">
        <v>44788</v>
      </c>
    </row>
    <row r="869" spans="1:1" x14ac:dyDescent="0.25">
      <c r="A869" s="1">
        <v>44789</v>
      </c>
    </row>
    <row r="870" spans="1:1" x14ac:dyDescent="0.25">
      <c r="A870" s="1">
        <v>44790</v>
      </c>
    </row>
    <row r="871" spans="1:1" x14ac:dyDescent="0.25">
      <c r="A871" s="1">
        <v>44791</v>
      </c>
    </row>
    <row r="872" spans="1:1" x14ac:dyDescent="0.25">
      <c r="A872" s="1">
        <v>44792</v>
      </c>
    </row>
    <row r="873" spans="1:1" x14ac:dyDescent="0.25">
      <c r="A873" s="1">
        <v>44793</v>
      </c>
    </row>
    <row r="874" spans="1:1" x14ac:dyDescent="0.25">
      <c r="A874" s="1">
        <v>44794</v>
      </c>
    </row>
    <row r="875" spans="1:1" x14ac:dyDescent="0.25">
      <c r="A875" s="1">
        <v>44795</v>
      </c>
    </row>
    <row r="876" spans="1:1" x14ac:dyDescent="0.25">
      <c r="A876" s="1">
        <v>44796</v>
      </c>
    </row>
    <row r="877" spans="1:1" x14ac:dyDescent="0.25">
      <c r="A877" s="1">
        <v>44797</v>
      </c>
    </row>
    <row r="878" spans="1:1" x14ac:dyDescent="0.25">
      <c r="A878" s="1">
        <v>44798</v>
      </c>
    </row>
    <row r="879" spans="1:1" x14ac:dyDescent="0.25">
      <c r="A879" s="1">
        <v>44799</v>
      </c>
    </row>
    <row r="880" spans="1:1" x14ac:dyDescent="0.25">
      <c r="A880" s="1">
        <v>44800</v>
      </c>
    </row>
    <row r="881" spans="1:1" x14ac:dyDescent="0.25">
      <c r="A881" s="1">
        <v>44801</v>
      </c>
    </row>
    <row r="882" spans="1:1" x14ac:dyDescent="0.25">
      <c r="A882" s="1">
        <v>44802</v>
      </c>
    </row>
    <row r="883" spans="1:1" x14ac:dyDescent="0.25">
      <c r="A883" s="1">
        <v>44803</v>
      </c>
    </row>
    <row r="884" spans="1:1" x14ac:dyDescent="0.25">
      <c r="A884" s="1">
        <v>44804</v>
      </c>
    </row>
    <row r="885" spans="1:1" x14ac:dyDescent="0.25">
      <c r="A885" s="1">
        <v>44805</v>
      </c>
    </row>
    <row r="886" spans="1:1" x14ac:dyDescent="0.25">
      <c r="A886" s="1">
        <v>44806</v>
      </c>
    </row>
    <row r="887" spans="1:1" x14ac:dyDescent="0.25">
      <c r="A887" s="1">
        <v>44807</v>
      </c>
    </row>
    <row r="888" spans="1:1" x14ac:dyDescent="0.25">
      <c r="A888" s="1">
        <v>44808</v>
      </c>
    </row>
    <row r="889" spans="1:1" x14ac:dyDescent="0.25">
      <c r="A889" s="1">
        <v>44809</v>
      </c>
    </row>
    <row r="890" spans="1:1" x14ac:dyDescent="0.25">
      <c r="A890" s="1">
        <v>44810</v>
      </c>
    </row>
    <row r="891" spans="1:1" x14ac:dyDescent="0.25">
      <c r="A891" s="1">
        <v>44811</v>
      </c>
    </row>
    <row r="892" spans="1:1" x14ac:dyDescent="0.25">
      <c r="A892" s="1">
        <v>44812</v>
      </c>
    </row>
    <row r="893" spans="1:1" x14ac:dyDescent="0.25">
      <c r="A893" s="1">
        <v>44813</v>
      </c>
    </row>
    <row r="894" spans="1:1" x14ac:dyDescent="0.25">
      <c r="A894" s="1">
        <v>44814</v>
      </c>
    </row>
    <row r="895" spans="1:1" x14ac:dyDescent="0.25">
      <c r="A895" s="1">
        <v>44815</v>
      </c>
    </row>
    <row r="896" spans="1:1" x14ac:dyDescent="0.25">
      <c r="A896" s="1">
        <v>44816</v>
      </c>
    </row>
    <row r="897" spans="1:1" x14ac:dyDescent="0.25">
      <c r="A897" s="1">
        <v>44817</v>
      </c>
    </row>
    <row r="898" spans="1:1" x14ac:dyDescent="0.25">
      <c r="A898" s="1">
        <v>44818</v>
      </c>
    </row>
    <row r="899" spans="1:1" x14ac:dyDescent="0.25">
      <c r="A899" s="1">
        <v>44819</v>
      </c>
    </row>
    <row r="900" spans="1:1" x14ac:dyDescent="0.25">
      <c r="A900" s="1">
        <v>44820</v>
      </c>
    </row>
    <row r="901" spans="1:1" x14ac:dyDescent="0.25">
      <c r="A901" s="1">
        <v>44821</v>
      </c>
    </row>
    <row r="902" spans="1:1" x14ac:dyDescent="0.25">
      <c r="A902" s="1">
        <v>44822</v>
      </c>
    </row>
    <row r="903" spans="1:1" x14ac:dyDescent="0.25">
      <c r="A903" s="1">
        <v>44823</v>
      </c>
    </row>
    <row r="904" spans="1:1" x14ac:dyDescent="0.25">
      <c r="A904" s="1">
        <v>44824</v>
      </c>
    </row>
    <row r="905" spans="1:1" x14ac:dyDescent="0.25">
      <c r="A905" s="1">
        <v>44825</v>
      </c>
    </row>
    <row r="906" spans="1:1" x14ac:dyDescent="0.25">
      <c r="A906" s="1">
        <v>44826</v>
      </c>
    </row>
    <row r="907" spans="1:1" x14ac:dyDescent="0.25">
      <c r="A907" s="1">
        <v>44827</v>
      </c>
    </row>
    <row r="908" spans="1:1" x14ac:dyDescent="0.25">
      <c r="A908" s="1">
        <v>44828</v>
      </c>
    </row>
    <row r="909" spans="1:1" x14ac:dyDescent="0.25">
      <c r="A909" s="1">
        <v>44829</v>
      </c>
    </row>
    <row r="910" spans="1:1" x14ac:dyDescent="0.25">
      <c r="A910" s="1">
        <v>44830</v>
      </c>
    </row>
    <row r="911" spans="1:1" x14ac:dyDescent="0.25">
      <c r="A911" s="1">
        <v>44831</v>
      </c>
    </row>
    <row r="912" spans="1:1" x14ac:dyDescent="0.25">
      <c r="A912" s="1">
        <v>44832</v>
      </c>
    </row>
    <row r="913" spans="1:1" x14ac:dyDescent="0.25">
      <c r="A913" s="1">
        <v>44833</v>
      </c>
    </row>
    <row r="914" spans="1:1" x14ac:dyDescent="0.25">
      <c r="A914" s="1">
        <v>44834</v>
      </c>
    </row>
    <row r="915" spans="1:1" x14ac:dyDescent="0.25">
      <c r="A915" s="1">
        <v>44835</v>
      </c>
    </row>
    <row r="916" spans="1:1" x14ac:dyDescent="0.25">
      <c r="A916" s="1">
        <v>44836</v>
      </c>
    </row>
    <row r="917" spans="1:1" x14ac:dyDescent="0.25">
      <c r="A917" s="1">
        <v>44837</v>
      </c>
    </row>
    <row r="918" spans="1:1" x14ac:dyDescent="0.25">
      <c r="A918" s="1">
        <v>44838</v>
      </c>
    </row>
    <row r="919" spans="1:1" x14ac:dyDescent="0.25">
      <c r="A919" s="1">
        <v>44839</v>
      </c>
    </row>
    <row r="920" spans="1:1" x14ac:dyDescent="0.25">
      <c r="A920" s="1">
        <v>44840</v>
      </c>
    </row>
    <row r="921" spans="1:1" x14ac:dyDescent="0.25">
      <c r="A921" s="1">
        <v>44841</v>
      </c>
    </row>
    <row r="922" spans="1:1" x14ac:dyDescent="0.25">
      <c r="A922" s="1">
        <v>44842</v>
      </c>
    </row>
    <row r="923" spans="1:1" x14ac:dyDescent="0.25">
      <c r="A923" s="1">
        <v>44843</v>
      </c>
    </row>
    <row r="924" spans="1:1" x14ac:dyDescent="0.25">
      <c r="A924" s="1">
        <v>44844</v>
      </c>
    </row>
    <row r="925" spans="1:1" x14ac:dyDescent="0.25">
      <c r="A925" s="1">
        <v>44845</v>
      </c>
    </row>
    <row r="926" spans="1:1" x14ac:dyDescent="0.25">
      <c r="A926" s="1">
        <v>44846</v>
      </c>
    </row>
    <row r="927" spans="1:1" x14ac:dyDescent="0.25">
      <c r="A927" s="1">
        <v>44847</v>
      </c>
    </row>
    <row r="928" spans="1:1" x14ac:dyDescent="0.25">
      <c r="A928" s="1">
        <v>44848</v>
      </c>
    </row>
    <row r="929" spans="1:1" x14ac:dyDescent="0.25">
      <c r="A929" s="1">
        <v>44849</v>
      </c>
    </row>
    <row r="930" spans="1:1" x14ac:dyDescent="0.25">
      <c r="A930" s="1">
        <v>44850</v>
      </c>
    </row>
    <row r="931" spans="1:1" x14ac:dyDescent="0.25">
      <c r="A931" s="1">
        <v>44851</v>
      </c>
    </row>
    <row r="932" spans="1:1" x14ac:dyDescent="0.25">
      <c r="A932" s="1">
        <v>44852</v>
      </c>
    </row>
    <row r="933" spans="1:1" x14ac:dyDescent="0.25">
      <c r="A933" s="1">
        <v>44853</v>
      </c>
    </row>
    <row r="934" spans="1:1" x14ac:dyDescent="0.25">
      <c r="A934" s="1">
        <v>44854</v>
      </c>
    </row>
    <row r="935" spans="1:1" x14ac:dyDescent="0.25">
      <c r="A935" s="1">
        <v>44855</v>
      </c>
    </row>
    <row r="936" spans="1:1" x14ac:dyDescent="0.25">
      <c r="A936" s="1">
        <v>44856</v>
      </c>
    </row>
    <row r="937" spans="1:1" x14ac:dyDescent="0.25">
      <c r="A937" s="1">
        <v>44857</v>
      </c>
    </row>
    <row r="938" spans="1:1" x14ac:dyDescent="0.25">
      <c r="A938" s="1">
        <v>44858</v>
      </c>
    </row>
    <row r="939" spans="1:1" x14ac:dyDescent="0.25">
      <c r="A939" s="1">
        <v>44859</v>
      </c>
    </row>
    <row r="940" spans="1:1" x14ac:dyDescent="0.25">
      <c r="A940" s="1">
        <v>44860</v>
      </c>
    </row>
    <row r="941" spans="1:1" x14ac:dyDescent="0.25">
      <c r="A941" s="1">
        <v>44861</v>
      </c>
    </row>
    <row r="942" spans="1:1" x14ac:dyDescent="0.25">
      <c r="A942" s="1">
        <v>44862</v>
      </c>
    </row>
    <row r="943" spans="1:1" x14ac:dyDescent="0.25">
      <c r="A943" s="1">
        <v>44863</v>
      </c>
    </row>
    <row r="944" spans="1:1" x14ac:dyDescent="0.25">
      <c r="A944" s="1">
        <v>44864</v>
      </c>
    </row>
    <row r="945" spans="1:1" x14ac:dyDescent="0.25">
      <c r="A945" s="1">
        <v>44865</v>
      </c>
    </row>
    <row r="946" spans="1:1" x14ac:dyDescent="0.25">
      <c r="A946" s="1">
        <v>44866</v>
      </c>
    </row>
    <row r="947" spans="1:1" x14ac:dyDescent="0.25">
      <c r="A947" s="1">
        <v>44867</v>
      </c>
    </row>
    <row r="948" spans="1:1" x14ac:dyDescent="0.25">
      <c r="A948" s="1">
        <v>44868</v>
      </c>
    </row>
    <row r="949" spans="1:1" x14ac:dyDescent="0.25">
      <c r="A949" s="1">
        <v>44869</v>
      </c>
    </row>
    <row r="950" spans="1:1" x14ac:dyDescent="0.25">
      <c r="A950" s="1">
        <v>44870</v>
      </c>
    </row>
    <row r="951" spans="1:1" x14ac:dyDescent="0.25">
      <c r="A951" s="1">
        <v>44871</v>
      </c>
    </row>
    <row r="952" spans="1:1" x14ac:dyDescent="0.25">
      <c r="A952" s="1">
        <v>44872</v>
      </c>
    </row>
    <row r="953" spans="1:1" x14ac:dyDescent="0.25">
      <c r="A953" s="1">
        <v>44873</v>
      </c>
    </row>
    <row r="954" spans="1:1" x14ac:dyDescent="0.25">
      <c r="A954" s="1">
        <v>44874</v>
      </c>
    </row>
    <row r="955" spans="1:1" x14ac:dyDescent="0.25">
      <c r="A955" s="1">
        <v>44875</v>
      </c>
    </row>
    <row r="956" spans="1:1" x14ac:dyDescent="0.25">
      <c r="A956" s="1">
        <v>44876</v>
      </c>
    </row>
    <row r="957" spans="1:1" x14ac:dyDescent="0.25">
      <c r="A957" s="1">
        <v>44877</v>
      </c>
    </row>
    <row r="958" spans="1:1" x14ac:dyDescent="0.25">
      <c r="A958" s="1">
        <v>44878</v>
      </c>
    </row>
    <row r="959" spans="1:1" x14ac:dyDescent="0.25">
      <c r="A959" s="1">
        <v>44879</v>
      </c>
    </row>
    <row r="960" spans="1:1" x14ac:dyDescent="0.25">
      <c r="A960" s="1">
        <v>44880</v>
      </c>
    </row>
    <row r="961" spans="1:1" x14ac:dyDescent="0.25">
      <c r="A961" s="1">
        <v>44881</v>
      </c>
    </row>
    <row r="962" spans="1:1" x14ac:dyDescent="0.25">
      <c r="A962" s="1">
        <v>44882</v>
      </c>
    </row>
    <row r="963" spans="1:1" x14ac:dyDescent="0.25">
      <c r="A963" s="1">
        <v>44883</v>
      </c>
    </row>
    <row r="964" spans="1:1" x14ac:dyDescent="0.25">
      <c r="A964" s="1">
        <v>44884</v>
      </c>
    </row>
    <row r="965" spans="1:1" x14ac:dyDescent="0.25">
      <c r="A965" s="1">
        <v>44885</v>
      </c>
    </row>
    <row r="966" spans="1:1" x14ac:dyDescent="0.25">
      <c r="A966" s="1">
        <v>44886</v>
      </c>
    </row>
    <row r="967" spans="1:1" x14ac:dyDescent="0.25">
      <c r="A967" s="1">
        <v>44887</v>
      </c>
    </row>
    <row r="968" spans="1:1" x14ac:dyDescent="0.25">
      <c r="A968" s="1">
        <v>44888</v>
      </c>
    </row>
    <row r="969" spans="1:1" x14ac:dyDescent="0.25">
      <c r="A969" s="1">
        <v>44889</v>
      </c>
    </row>
    <row r="970" spans="1:1" x14ac:dyDescent="0.25">
      <c r="A970" s="1">
        <v>44890</v>
      </c>
    </row>
    <row r="971" spans="1:1" x14ac:dyDescent="0.25">
      <c r="A971" s="1">
        <v>44891</v>
      </c>
    </row>
    <row r="972" spans="1:1" x14ac:dyDescent="0.25">
      <c r="A972" s="1">
        <v>44892</v>
      </c>
    </row>
    <row r="973" spans="1:1" x14ac:dyDescent="0.25">
      <c r="A973" s="1">
        <v>44893</v>
      </c>
    </row>
    <row r="974" spans="1:1" x14ac:dyDescent="0.25">
      <c r="A974" s="1">
        <v>44894</v>
      </c>
    </row>
    <row r="975" spans="1:1" x14ac:dyDescent="0.25">
      <c r="A975" s="1">
        <v>44895</v>
      </c>
    </row>
    <row r="976" spans="1:1" x14ac:dyDescent="0.25">
      <c r="A976" s="1">
        <v>44896</v>
      </c>
    </row>
    <row r="977" spans="1:1" x14ac:dyDescent="0.25">
      <c r="A977" s="1">
        <v>44897</v>
      </c>
    </row>
    <row r="978" spans="1:1" x14ac:dyDescent="0.25">
      <c r="A978" s="1">
        <v>44898</v>
      </c>
    </row>
    <row r="979" spans="1:1" x14ac:dyDescent="0.25">
      <c r="A979" s="1">
        <v>44899</v>
      </c>
    </row>
    <row r="980" spans="1:1" x14ac:dyDescent="0.25">
      <c r="A980" s="1">
        <v>44900</v>
      </c>
    </row>
    <row r="981" spans="1:1" x14ac:dyDescent="0.25">
      <c r="A981" s="1">
        <v>44901</v>
      </c>
    </row>
    <row r="982" spans="1:1" x14ac:dyDescent="0.25">
      <c r="A982" s="1">
        <v>44902</v>
      </c>
    </row>
    <row r="983" spans="1:1" x14ac:dyDescent="0.25">
      <c r="A983" s="1">
        <v>44903</v>
      </c>
    </row>
    <row r="984" spans="1:1" x14ac:dyDescent="0.25">
      <c r="A984" s="1">
        <v>44904</v>
      </c>
    </row>
    <row r="985" spans="1:1" x14ac:dyDescent="0.25">
      <c r="A985" s="1">
        <v>44905</v>
      </c>
    </row>
    <row r="986" spans="1:1" x14ac:dyDescent="0.25">
      <c r="A986" s="1">
        <v>44906</v>
      </c>
    </row>
    <row r="987" spans="1:1" x14ac:dyDescent="0.25">
      <c r="A987" s="1">
        <v>44907</v>
      </c>
    </row>
    <row r="988" spans="1:1" x14ac:dyDescent="0.25">
      <c r="A988" s="1">
        <v>44908</v>
      </c>
    </row>
    <row r="989" spans="1:1" x14ac:dyDescent="0.25">
      <c r="A989" s="1">
        <v>44909</v>
      </c>
    </row>
    <row r="990" spans="1:1" x14ac:dyDescent="0.25">
      <c r="A990" s="1">
        <v>44910</v>
      </c>
    </row>
    <row r="991" spans="1:1" x14ac:dyDescent="0.25">
      <c r="A991" s="1">
        <v>44911</v>
      </c>
    </row>
    <row r="992" spans="1:1" x14ac:dyDescent="0.25">
      <c r="A992" s="1">
        <v>44912</v>
      </c>
    </row>
    <row r="993" spans="1:1" x14ac:dyDescent="0.25">
      <c r="A993" s="1">
        <v>44913</v>
      </c>
    </row>
    <row r="994" spans="1:1" x14ac:dyDescent="0.25">
      <c r="A994" s="1">
        <v>44914</v>
      </c>
    </row>
    <row r="995" spans="1:1" x14ac:dyDescent="0.25">
      <c r="A995" s="1">
        <v>44915</v>
      </c>
    </row>
    <row r="996" spans="1:1" x14ac:dyDescent="0.25">
      <c r="A996" s="1">
        <v>44916</v>
      </c>
    </row>
    <row r="997" spans="1:1" x14ac:dyDescent="0.25">
      <c r="A997" s="1">
        <v>44917</v>
      </c>
    </row>
    <row r="998" spans="1:1" x14ac:dyDescent="0.25">
      <c r="A998" s="1">
        <v>44918</v>
      </c>
    </row>
    <row r="999" spans="1:1" x14ac:dyDescent="0.25">
      <c r="A999" s="1">
        <v>44919</v>
      </c>
    </row>
    <row r="1000" spans="1:1" x14ac:dyDescent="0.25">
      <c r="A1000" s="1">
        <v>44920</v>
      </c>
    </row>
    <row r="1001" spans="1:1" x14ac:dyDescent="0.25">
      <c r="A1001" s="1">
        <v>44921</v>
      </c>
    </row>
    <row r="1002" spans="1:1" x14ac:dyDescent="0.25">
      <c r="A1002" s="1">
        <v>44922</v>
      </c>
    </row>
    <row r="1003" spans="1:1" x14ac:dyDescent="0.25">
      <c r="A1003" s="1">
        <v>44923</v>
      </c>
    </row>
    <row r="1004" spans="1:1" x14ac:dyDescent="0.25">
      <c r="A1004" s="1">
        <v>44924</v>
      </c>
    </row>
    <row r="1005" spans="1:1" x14ac:dyDescent="0.25">
      <c r="A1005" s="1">
        <v>44925</v>
      </c>
    </row>
    <row r="1006" spans="1:1" x14ac:dyDescent="0.25">
      <c r="A1006" s="1">
        <v>44926</v>
      </c>
    </row>
    <row r="1007" spans="1:1" x14ac:dyDescent="0.25">
      <c r="A1007" s="1">
        <v>44927</v>
      </c>
    </row>
    <row r="1008" spans="1:1" x14ac:dyDescent="0.25">
      <c r="A1008" s="1">
        <v>44928</v>
      </c>
    </row>
    <row r="1009" spans="1:1" x14ac:dyDescent="0.25">
      <c r="A1009" s="1">
        <v>44929</v>
      </c>
    </row>
    <row r="1010" spans="1:1" x14ac:dyDescent="0.25">
      <c r="A1010" s="1">
        <v>44930</v>
      </c>
    </row>
    <row r="1011" spans="1:1" x14ac:dyDescent="0.25">
      <c r="A1011" s="1">
        <v>44931</v>
      </c>
    </row>
    <row r="1012" spans="1:1" x14ac:dyDescent="0.25">
      <c r="A1012" s="1">
        <v>44932</v>
      </c>
    </row>
    <row r="1013" spans="1:1" x14ac:dyDescent="0.25">
      <c r="A1013" s="1">
        <v>44933</v>
      </c>
    </row>
    <row r="1014" spans="1:1" x14ac:dyDescent="0.25">
      <c r="A1014" s="1">
        <v>44934</v>
      </c>
    </row>
    <row r="1015" spans="1:1" x14ac:dyDescent="0.25">
      <c r="A1015" s="1">
        <v>44935</v>
      </c>
    </row>
    <row r="1016" spans="1:1" x14ac:dyDescent="0.25">
      <c r="A1016" s="1">
        <v>44936</v>
      </c>
    </row>
    <row r="1017" spans="1:1" x14ac:dyDescent="0.25">
      <c r="A1017" s="1">
        <v>44937</v>
      </c>
    </row>
    <row r="1018" spans="1:1" x14ac:dyDescent="0.25">
      <c r="A1018" s="1">
        <v>44938</v>
      </c>
    </row>
    <row r="1019" spans="1:1" x14ac:dyDescent="0.25">
      <c r="A1019" s="1">
        <v>44939</v>
      </c>
    </row>
    <row r="1020" spans="1:1" x14ac:dyDescent="0.25">
      <c r="A1020" s="1">
        <v>44940</v>
      </c>
    </row>
    <row r="1021" spans="1:1" x14ac:dyDescent="0.25">
      <c r="A1021" s="1">
        <v>44941</v>
      </c>
    </row>
    <row r="1022" spans="1:1" x14ac:dyDescent="0.25">
      <c r="A1022" s="1">
        <v>44942</v>
      </c>
    </row>
    <row r="1023" spans="1:1" x14ac:dyDescent="0.25">
      <c r="A1023" s="1">
        <v>44943</v>
      </c>
    </row>
    <row r="1024" spans="1:1" x14ac:dyDescent="0.25">
      <c r="A1024" s="1">
        <v>44944</v>
      </c>
    </row>
    <row r="1025" spans="1:1" x14ac:dyDescent="0.25">
      <c r="A1025" s="1">
        <v>44945</v>
      </c>
    </row>
    <row r="1026" spans="1:1" x14ac:dyDescent="0.25">
      <c r="A1026" s="1">
        <v>44946</v>
      </c>
    </row>
    <row r="1027" spans="1:1" x14ac:dyDescent="0.25">
      <c r="A1027" s="1">
        <v>44947</v>
      </c>
    </row>
    <row r="1028" spans="1:1" x14ac:dyDescent="0.25">
      <c r="A1028" s="1">
        <v>44948</v>
      </c>
    </row>
    <row r="1029" spans="1:1" x14ac:dyDescent="0.25">
      <c r="A1029" s="1">
        <v>44949</v>
      </c>
    </row>
    <row r="1030" spans="1:1" x14ac:dyDescent="0.25">
      <c r="A1030" s="1">
        <v>44950</v>
      </c>
    </row>
    <row r="1031" spans="1:1" x14ac:dyDescent="0.25">
      <c r="A1031" s="1">
        <v>44951</v>
      </c>
    </row>
    <row r="1032" spans="1:1" x14ac:dyDescent="0.25">
      <c r="A1032" s="1">
        <v>44952</v>
      </c>
    </row>
    <row r="1033" spans="1:1" x14ac:dyDescent="0.25">
      <c r="A1033" s="1">
        <v>44953</v>
      </c>
    </row>
    <row r="1034" spans="1:1" x14ac:dyDescent="0.25">
      <c r="A1034" s="1">
        <v>44954</v>
      </c>
    </row>
    <row r="1035" spans="1:1" x14ac:dyDescent="0.25">
      <c r="A1035" s="1">
        <v>44955</v>
      </c>
    </row>
    <row r="1036" spans="1:1" x14ac:dyDescent="0.25">
      <c r="A1036" s="1">
        <v>44956</v>
      </c>
    </row>
    <row r="1037" spans="1:1" x14ac:dyDescent="0.25">
      <c r="A1037" s="1">
        <v>44957</v>
      </c>
    </row>
    <row r="1038" spans="1:1" x14ac:dyDescent="0.25">
      <c r="A1038" s="1">
        <v>44958</v>
      </c>
    </row>
    <row r="1039" spans="1:1" x14ac:dyDescent="0.25">
      <c r="A1039" s="1">
        <v>44959</v>
      </c>
    </row>
    <row r="1040" spans="1:1" x14ac:dyDescent="0.25">
      <c r="A1040" s="1">
        <v>44960</v>
      </c>
    </row>
    <row r="1041" spans="1:1" x14ac:dyDescent="0.25">
      <c r="A1041" s="1">
        <v>44961</v>
      </c>
    </row>
    <row r="1042" spans="1:1" x14ac:dyDescent="0.25">
      <c r="A1042" s="1">
        <v>44962</v>
      </c>
    </row>
    <row r="1043" spans="1:1" x14ac:dyDescent="0.25">
      <c r="A1043" s="1">
        <v>44963</v>
      </c>
    </row>
    <row r="1044" spans="1:1" x14ac:dyDescent="0.25">
      <c r="A1044" s="1">
        <v>44964</v>
      </c>
    </row>
    <row r="1045" spans="1:1" x14ac:dyDescent="0.25">
      <c r="A1045" s="1">
        <v>44965</v>
      </c>
    </row>
    <row r="1046" spans="1:1" x14ac:dyDescent="0.25">
      <c r="A1046" s="1">
        <v>44966</v>
      </c>
    </row>
    <row r="1047" spans="1:1" x14ac:dyDescent="0.25">
      <c r="A1047" s="1">
        <v>44967</v>
      </c>
    </row>
    <row r="1048" spans="1:1" x14ac:dyDescent="0.25">
      <c r="A1048" s="1">
        <v>44968</v>
      </c>
    </row>
    <row r="1049" spans="1:1" x14ac:dyDescent="0.25">
      <c r="A1049" s="1">
        <v>44969</v>
      </c>
    </row>
    <row r="1050" spans="1:1" x14ac:dyDescent="0.25">
      <c r="A1050" s="1">
        <v>44970</v>
      </c>
    </row>
    <row r="1051" spans="1:1" x14ac:dyDescent="0.25">
      <c r="A1051" s="1">
        <v>44971</v>
      </c>
    </row>
    <row r="1052" spans="1:1" x14ac:dyDescent="0.25">
      <c r="A1052" s="1">
        <v>44972</v>
      </c>
    </row>
    <row r="1053" spans="1:1" x14ac:dyDescent="0.25">
      <c r="A1053" s="1">
        <v>44973</v>
      </c>
    </row>
    <row r="1054" spans="1:1" x14ac:dyDescent="0.25">
      <c r="A1054" s="1">
        <v>44974</v>
      </c>
    </row>
    <row r="1055" spans="1:1" x14ac:dyDescent="0.25">
      <c r="A1055" s="1">
        <v>44975</v>
      </c>
    </row>
    <row r="1056" spans="1:1" x14ac:dyDescent="0.25">
      <c r="A1056" s="1">
        <v>44976</v>
      </c>
    </row>
    <row r="1057" spans="1:1" x14ac:dyDescent="0.25">
      <c r="A1057" s="1">
        <v>44977</v>
      </c>
    </row>
    <row r="1058" spans="1:1" x14ac:dyDescent="0.25">
      <c r="A1058" s="1">
        <v>44978</v>
      </c>
    </row>
    <row r="1059" spans="1:1" x14ac:dyDescent="0.25">
      <c r="A1059" s="1">
        <v>44979</v>
      </c>
    </row>
    <row r="1060" spans="1:1" x14ac:dyDescent="0.25">
      <c r="A1060" s="1">
        <v>44980</v>
      </c>
    </row>
    <row r="1061" spans="1:1" x14ac:dyDescent="0.25">
      <c r="A1061" s="1">
        <v>44981</v>
      </c>
    </row>
    <row r="1062" spans="1:1" x14ac:dyDescent="0.25">
      <c r="A1062" s="1">
        <v>44982</v>
      </c>
    </row>
    <row r="1063" spans="1:1" x14ac:dyDescent="0.25">
      <c r="A1063" s="1">
        <v>44983</v>
      </c>
    </row>
    <row r="1064" spans="1:1" x14ac:dyDescent="0.25">
      <c r="A1064" s="1">
        <v>44984</v>
      </c>
    </row>
    <row r="1065" spans="1:1" x14ac:dyDescent="0.25">
      <c r="A1065" s="1">
        <v>44985</v>
      </c>
    </row>
    <row r="1066" spans="1:1" x14ac:dyDescent="0.25">
      <c r="A1066" s="1">
        <v>44986</v>
      </c>
    </row>
    <row r="1067" spans="1:1" x14ac:dyDescent="0.25">
      <c r="A1067" s="1">
        <v>44987</v>
      </c>
    </row>
    <row r="1068" spans="1:1" x14ac:dyDescent="0.25">
      <c r="A1068" s="1">
        <v>44988</v>
      </c>
    </row>
    <row r="1069" spans="1:1" x14ac:dyDescent="0.25">
      <c r="A1069" s="1">
        <v>44989</v>
      </c>
    </row>
    <row r="1070" spans="1:1" x14ac:dyDescent="0.25">
      <c r="A1070" s="1">
        <v>44990</v>
      </c>
    </row>
    <row r="1071" spans="1:1" x14ac:dyDescent="0.25">
      <c r="A1071" s="1">
        <v>44991</v>
      </c>
    </row>
    <row r="1072" spans="1:1" x14ac:dyDescent="0.25">
      <c r="A1072" s="1">
        <v>44992</v>
      </c>
    </row>
    <row r="1073" spans="1:1" x14ac:dyDescent="0.25">
      <c r="A1073" s="1">
        <v>44993</v>
      </c>
    </row>
    <row r="1074" spans="1:1" x14ac:dyDescent="0.25">
      <c r="A1074" s="1">
        <v>44994</v>
      </c>
    </row>
    <row r="1075" spans="1:1" x14ac:dyDescent="0.25">
      <c r="A1075" s="1">
        <v>44995</v>
      </c>
    </row>
    <row r="1076" spans="1:1" x14ac:dyDescent="0.25">
      <c r="A1076" s="1">
        <v>44996</v>
      </c>
    </row>
    <row r="1077" spans="1:1" x14ac:dyDescent="0.25">
      <c r="A1077" s="1">
        <v>44997</v>
      </c>
    </row>
    <row r="1078" spans="1:1" x14ac:dyDescent="0.25">
      <c r="A1078" s="1">
        <v>44998</v>
      </c>
    </row>
    <row r="1079" spans="1:1" x14ac:dyDescent="0.25">
      <c r="A1079" s="1">
        <v>44999</v>
      </c>
    </row>
    <row r="1080" spans="1:1" x14ac:dyDescent="0.25">
      <c r="A1080" s="1">
        <v>45000</v>
      </c>
    </row>
    <row r="1081" spans="1:1" x14ac:dyDescent="0.25">
      <c r="A1081" s="1">
        <v>45001</v>
      </c>
    </row>
    <row r="1082" spans="1:1" x14ac:dyDescent="0.25">
      <c r="A1082" s="1">
        <v>45002</v>
      </c>
    </row>
    <row r="1083" spans="1:1" x14ac:dyDescent="0.25">
      <c r="A1083" s="1">
        <v>45003</v>
      </c>
    </row>
    <row r="1084" spans="1:1" x14ac:dyDescent="0.25">
      <c r="A1084" s="1">
        <v>45004</v>
      </c>
    </row>
    <row r="1085" spans="1:1" x14ac:dyDescent="0.25">
      <c r="A1085" s="1">
        <v>45005</v>
      </c>
    </row>
    <row r="1086" spans="1:1" x14ac:dyDescent="0.25">
      <c r="A1086" s="1">
        <v>45006</v>
      </c>
    </row>
    <row r="1087" spans="1:1" x14ac:dyDescent="0.25">
      <c r="A1087" s="1">
        <v>45007</v>
      </c>
    </row>
    <row r="1088" spans="1:1" x14ac:dyDescent="0.25">
      <c r="A1088" s="1">
        <v>45008</v>
      </c>
    </row>
    <row r="1089" spans="1:1" x14ac:dyDescent="0.25">
      <c r="A1089" s="1">
        <v>45009</v>
      </c>
    </row>
    <row r="1090" spans="1:1" x14ac:dyDescent="0.25">
      <c r="A1090" s="1">
        <v>45010</v>
      </c>
    </row>
    <row r="1091" spans="1:1" x14ac:dyDescent="0.25">
      <c r="A1091" s="1">
        <v>45011</v>
      </c>
    </row>
    <row r="1092" spans="1:1" x14ac:dyDescent="0.25">
      <c r="A1092" s="1">
        <v>45012</v>
      </c>
    </row>
    <row r="1093" spans="1:1" x14ac:dyDescent="0.25">
      <c r="A1093" s="1">
        <v>45013</v>
      </c>
    </row>
    <row r="1094" spans="1:1" x14ac:dyDescent="0.25">
      <c r="A1094" s="1">
        <v>45014</v>
      </c>
    </row>
    <row r="1095" spans="1:1" x14ac:dyDescent="0.25">
      <c r="A1095" s="1">
        <v>45015</v>
      </c>
    </row>
    <row r="1096" spans="1:1" x14ac:dyDescent="0.25">
      <c r="A1096" s="1">
        <v>45016</v>
      </c>
    </row>
    <row r="1097" spans="1:1" x14ac:dyDescent="0.25">
      <c r="A1097" s="1">
        <v>45017</v>
      </c>
    </row>
    <row r="1098" spans="1:1" x14ac:dyDescent="0.25">
      <c r="A1098" s="1">
        <v>45018</v>
      </c>
    </row>
    <row r="1099" spans="1:1" x14ac:dyDescent="0.25">
      <c r="A1099" s="1">
        <v>45019</v>
      </c>
    </row>
    <row r="1100" spans="1:1" x14ac:dyDescent="0.25">
      <c r="A1100" s="1">
        <v>45020</v>
      </c>
    </row>
    <row r="1101" spans="1:1" x14ac:dyDescent="0.25">
      <c r="A1101" s="1">
        <v>45021</v>
      </c>
    </row>
    <row r="1102" spans="1:1" x14ac:dyDescent="0.25">
      <c r="A1102" s="1">
        <v>45022</v>
      </c>
    </row>
    <row r="1103" spans="1:1" x14ac:dyDescent="0.25">
      <c r="A1103" s="1">
        <v>45023</v>
      </c>
    </row>
    <row r="1104" spans="1:1" x14ac:dyDescent="0.25">
      <c r="A1104" s="1">
        <v>45024</v>
      </c>
    </row>
    <row r="1105" spans="1:1" x14ac:dyDescent="0.25">
      <c r="A1105" s="1">
        <v>45025</v>
      </c>
    </row>
    <row r="1106" spans="1:1" x14ac:dyDescent="0.25">
      <c r="A1106" s="1">
        <v>45026</v>
      </c>
    </row>
    <row r="1107" spans="1:1" x14ac:dyDescent="0.25">
      <c r="A1107" s="1">
        <v>45027</v>
      </c>
    </row>
    <row r="1108" spans="1:1" x14ac:dyDescent="0.25">
      <c r="A1108" s="1">
        <v>45028</v>
      </c>
    </row>
    <row r="1109" spans="1:1" x14ac:dyDescent="0.25">
      <c r="A1109" s="1">
        <v>45029</v>
      </c>
    </row>
    <row r="1110" spans="1:1" x14ac:dyDescent="0.25">
      <c r="A1110" s="1">
        <v>45030</v>
      </c>
    </row>
    <row r="1111" spans="1:1" x14ac:dyDescent="0.25">
      <c r="A1111" s="1">
        <v>45031</v>
      </c>
    </row>
    <row r="1112" spans="1:1" x14ac:dyDescent="0.25">
      <c r="A1112" s="1">
        <v>45032</v>
      </c>
    </row>
    <row r="1113" spans="1:1" x14ac:dyDescent="0.25">
      <c r="A1113" s="1">
        <v>45033</v>
      </c>
    </row>
    <row r="1114" spans="1:1" x14ac:dyDescent="0.25">
      <c r="A1114" s="1">
        <v>45034</v>
      </c>
    </row>
    <row r="1115" spans="1:1" x14ac:dyDescent="0.25">
      <c r="A1115" s="1">
        <v>45035</v>
      </c>
    </row>
    <row r="1116" spans="1:1" x14ac:dyDescent="0.25">
      <c r="A1116" s="1">
        <v>45036</v>
      </c>
    </row>
    <row r="1117" spans="1:1" x14ac:dyDescent="0.25">
      <c r="A1117" s="1">
        <v>45037</v>
      </c>
    </row>
    <row r="1118" spans="1:1" x14ac:dyDescent="0.25">
      <c r="A1118" s="1">
        <v>45038</v>
      </c>
    </row>
    <row r="1119" spans="1:1" x14ac:dyDescent="0.25">
      <c r="A1119" s="1">
        <v>45039</v>
      </c>
    </row>
    <row r="1120" spans="1:1" x14ac:dyDescent="0.25">
      <c r="A1120" s="1">
        <v>45040</v>
      </c>
    </row>
    <row r="1121" spans="1:1" x14ac:dyDescent="0.25">
      <c r="A1121" s="1">
        <v>45041</v>
      </c>
    </row>
    <row r="1122" spans="1:1" x14ac:dyDescent="0.25">
      <c r="A1122" s="1">
        <v>45042</v>
      </c>
    </row>
    <row r="1123" spans="1:1" x14ac:dyDescent="0.25">
      <c r="A1123" s="1">
        <v>45043</v>
      </c>
    </row>
    <row r="1124" spans="1:1" x14ac:dyDescent="0.25">
      <c r="A1124" s="1">
        <v>45044</v>
      </c>
    </row>
    <row r="1125" spans="1:1" x14ac:dyDescent="0.25">
      <c r="A1125" s="1">
        <v>45045</v>
      </c>
    </row>
    <row r="1126" spans="1:1" x14ac:dyDescent="0.25">
      <c r="A1126" s="1">
        <v>45046</v>
      </c>
    </row>
    <row r="1127" spans="1:1" x14ac:dyDescent="0.25">
      <c r="A1127" s="1">
        <v>45047</v>
      </c>
    </row>
    <row r="1128" spans="1:1" x14ac:dyDescent="0.25">
      <c r="A1128" s="1">
        <v>45048</v>
      </c>
    </row>
    <row r="1129" spans="1:1" x14ac:dyDescent="0.25">
      <c r="A1129" s="1">
        <v>45049</v>
      </c>
    </row>
    <row r="1130" spans="1:1" x14ac:dyDescent="0.25">
      <c r="A1130" s="1">
        <v>45050</v>
      </c>
    </row>
    <row r="1131" spans="1:1" x14ac:dyDescent="0.25">
      <c r="A1131" s="1">
        <v>45051</v>
      </c>
    </row>
    <row r="1132" spans="1:1" x14ac:dyDescent="0.25">
      <c r="A1132" s="1">
        <v>45052</v>
      </c>
    </row>
    <row r="1133" spans="1:1" x14ac:dyDescent="0.25">
      <c r="A1133" s="1">
        <v>45053</v>
      </c>
    </row>
    <row r="1134" spans="1:1" x14ac:dyDescent="0.25">
      <c r="A1134" s="1">
        <v>45054</v>
      </c>
    </row>
    <row r="1135" spans="1:1" x14ac:dyDescent="0.25">
      <c r="A1135" s="1">
        <v>45055</v>
      </c>
    </row>
    <row r="1136" spans="1:1" x14ac:dyDescent="0.25">
      <c r="A1136" s="1">
        <v>45056</v>
      </c>
    </row>
    <row r="1137" spans="1:1" x14ac:dyDescent="0.25">
      <c r="A1137" s="1">
        <v>45057</v>
      </c>
    </row>
    <row r="1138" spans="1:1" x14ac:dyDescent="0.25">
      <c r="A1138" s="1">
        <v>45058</v>
      </c>
    </row>
    <row r="1139" spans="1:1" x14ac:dyDescent="0.25">
      <c r="A1139" s="1">
        <v>45059</v>
      </c>
    </row>
    <row r="1140" spans="1:1" x14ac:dyDescent="0.25">
      <c r="A1140" s="1">
        <v>45060</v>
      </c>
    </row>
    <row r="1141" spans="1:1" x14ac:dyDescent="0.25">
      <c r="A1141" s="1">
        <v>45061</v>
      </c>
    </row>
    <row r="1142" spans="1:1" x14ac:dyDescent="0.25">
      <c r="A1142" s="1">
        <v>45062</v>
      </c>
    </row>
    <row r="1143" spans="1:1" x14ac:dyDescent="0.25">
      <c r="A1143" s="1">
        <v>45063</v>
      </c>
    </row>
    <row r="1144" spans="1:1" x14ac:dyDescent="0.25">
      <c r="A1144" s="1">
        <v>45064</v>
      </c>
    </row>
    <row r="1145" spans="1:1" x14ac:dyDescent="0.25">
      <c r="A1145" s="1">
        <v>45065</v>
      </c>
    </row>
    <row r="1146" spans="1:1" x14ac:dyDescent="0.25">
      <c r="A1146" s="1">
        <v>45066</v>
      </c>
    </row>
    <row r="1147" spans="1:1" x14ac:dyDescent="0.25">
      <c r="A1147" s="1">
        <v>45067</v>
      </c>
    </row>
    <row r="1148" spans="1:1" x14ac:dyDescent="0.25">
      <c r="A1148" s="1">
        <v>45068</v>
      </c>
    </row>
    <row r="1149" spans="1:1" x14ac:dyDescent="0.25">
      <c r="A1149" s="1">
        <v>45069</v>
      </c>
    </row>
    <row r="1150" spans="1:1" x14ac:dyDescent="0.25">
      <c r="A1150" s="1">
        <v>45070</v>
      </c>
    </row>
    <row r="1151" spans="1:1" x14ac:dyDescent="0.25">
      <c r="A1151" s="1">
        <v>45071</v>
      </c>
    </row>
    <row r="1152" spans="1:1" x14ac:dyDescent="0.25">
      <c r="A1152" s="1">
        <v>45072</v>
      </c>
    </row>
    <row r="1153" spans="1:1" x14ac:dyDescent="0.25">
      <c r="A1153" s="1">
        <v>45073</v>
      </c>
    </row>
    <row r="1154" spans="1:1" x14ac:dyDescent="0.25">
      <c r="A1154" s="1">
        <v>45074</v>
      </c>
    </row>
    <row r="1155" spans="1:1" x14ac:dyDescent="0.25">
      <c r="A1155" s="1">
        <v>45075</v>
      </c>
    </row>
    <row r="1156" spans="1:1" x14ac:dyDescent="0.25">
      <c r="A1156" s="1">
        <v>45076</v>
      </c>
    </row>
    <row r="1157" spans="1:1" x14ac:dyDescent="0.25">
      <c r="A1157" s="1">
        <v>45077</v>
      </c>
    </row>
    <row r="1158" spans="1:1" x14ac:dyDescent="0.25">
      <c r="A1158" s="1">
        <v>45078</v>
      </c>
    </row>
    <row r="1159" spans="1:1" x14ac:dyDescent="0.25">
      <c r="A1159" s="1">
        <v>45079</v>
      </c>
    </row>
    <row r="1160" spans="1:1" x14ac:dyDescent="0.25">
      <c r="A1160" s="1">
        <v>45080</v>
      </c>
    </row>
    <row r="1161" spans="1:1" x14ac:dyDescent="0.25">
      <c r="A1161" s="1">
        <v>45081</v>
      </c>
    </row>
    <row r="1162" spans="1:1" x14ac:dyDescent="0.25">
      <c r="A1162" s="1">
        <v>45082</v>
      </c>
    </row>
    <row r="1163" spans="1:1" x14ac:dyDescent="0.25">
      <c r="A1163" s="1">
        <v>45083</v>
      </c>
    </row>
    <row r="1164" spans="1:1" x14ac:dyDescent="0.25">
      <c r="A1164" s="1">
        <v>45084</v>
      </c>
    </row>
    <row r="1165" spans="1:1" x14ac:dyDescent="0.25">
      <c r="A1165" s="1">
        <v>45085</v>
      </c>
    </row>
    <row r="1166" spans="1:1" x14ac:dyDescent="0.25">
      <c r="A1166" s="1">
        <v>45086</v>
      </c>
    </row>
    <row r="1167" spans="1:1" x14ac:dyDescent="0.25">
      <c r="A1167" s="1">
        <v>45087</v>
      </c>
    </row>
    <row r="1168" spans="1:1" x14ac:dyDescent="0.25">
      <c r="A1168" s="1">
        <v>45088</v>
      </c>
    </row>
    <row r="1169" spans="1:1" x14ac:dyDescent="0.25">
      <c r="A1169" s="1">
        <v>45089</v>
      </c>
    </row>
    <row r="1170" spans="1:1" x14ac:dyDescent="0.25">
      <c r="A1170" s="1">
        <v>45090</v>
      </c>
    </row>
    <row r="1171" spans="1:1" x14ac:dyDescent="0.25">
      <c r="A1171" s="1">
        <v>45091</v>
      </c>
    </row>
    <row r="1172" spans="1:1" x14ac:dyDescent="0.25">
      <c r="A1172" s="1">
        <v>45092</v>
      </c>
    </row>
    <row r="1173" spans="1:1" x14ac:dyDescent="0.25">
      <c r="A1173" s="1">
        <v>45093</v>
      </c>
    </row>
    <row r="1174" spans="1:1" x14ac:dyDescent="0.25">
      <c r="A1174" s="1">
        <v>45094</v>
      </c>
    </row>
    <row r="1175" spans="1:1" x14ac:dyDescent="0.25">
      <c r="A1175" s="1">
        <v>45095</v>
      </c>
    </row>
    <row r="1176" spans="1:1" x14ac:dyDescent="0.25">
      <c r="A1176" s="1">
        <v>45096</v>
      </c>
    </row>
    <row r="1177" spans="1:1" x14ac:dyDescent="0.25">
      <c r="A1177" s="1">
        <v>45097</v>
      </c>
    </row>
    <row r="1178" spans="1:1" x14ac:dyDescent="0.25">
      <c r="A1178" s="1">
        <v>45098</v>
      </c>
    </row>
    <row r="1179" spans="1:1" x14ac:dyDescent="0.25">
      <c r="A1179" s="1">
        <v>45099</v>
      </c>
    </row>
    <row r="1180" spans="1:1" x14ac:dyDescent="0.25">
      <c r="A1180" s="1">
        <v>45100</v>
      </c>
    </row>
    <row r="1181" spans="1:1" x14ac:dyDescent="0.25">
      <c r="A1181" s="1">
        <v>45101</v>
      </c>
    </row>
    <row r="1182" spans="1:1" x14ac:dyDescent="0.25">
      <c r="A1182" s="1">
        <v>45102</v>
      </c>
    </row>
    <row r="1183" spans="1:1" x14ac:dyDescent="0.25">
      <c r="A1183" s="1">
        <v>45103</v>
      </c>
    </row>
    <row r="1184" spans="1:1" x14ac:dyDescent="0.25">
      <c r="A1184" s="1">
        <v>45104</v>
      </c>
    </row>
    <row r="1185" spans="1:1" x14ac:dyDescent="0.25">
      <c r="A1185" s="1">
        <v>45105</v>
      </c>
    </row>
    <row r="1186" spans="1:1" x14ac:dyDescent="0.25">
      <c r="A1186" s="1">
        <v>45106</v>
      </c>
    </row>
    <row r="1187" spans="1:1" x14ac:dyDescent="0.25">
      <c r="A1187" s="1">
        <v>45107</v>
      </c>
    </row>
    <row r="1188" spans="1:1" x14ac:dyDescent="0.25">
      <c r="A1188" s="1">
        <v>45108</v>
      </c>
    </row>
    <row r="1189" spans="1:1" x14ac:dyDescent="0.25">
      <c r="A1189" s="1">
        <v>45109</v>
      </c>
    </row>
    <row r="1190" spans="1:1" x14ac:dyDescent="0.25">
      <c r="A1190" s="1">
        <v>45110</v>
      </c>
    </row>
    <row r="1191" spans="1:1" x14ac:dyDescent="0.25">
      <c r="A1191" s="1">
        <v>45111</v>
      </c>
    </row>
    <row r="1192" spans="1:1" x14ac:dyDescent="0.25">
      <c r="A1192" s="1">
        <v>45112</v>
      </c>
    </row>
    <row r="1193" spans="1:1" x14ac:dyDescent="0.25">
      <c r="A1193" s="1">
        <v>45113</v>
      </c>
    </row>
    <row r="1194" spans="1:1" x14ac:dyDescent="0.25">
      <c r="A1194" s="1">
        <v>45114</v>
      </c>
    </row>
    <row r="1195" spans="1:1" x14ac:dyDescent="0.25">
      <c r="A1195" s="1">
        <v>45115</v>
      </c>
    </row>
    <row r="1196" spans="1:1" x14ac:dyDescent="0.25">
      <c r="A1196" s="1">
        <v>45116</v>
      </c>
    </row>
    <row r="1197" spans="1:1" x14ac:dyDescent="0.25">
      <c r="A1197" s="1">
        <v>45117</v>
      </c>
    </row>
    <row r="1198" spans="1:1" x14ac:dyDescent="0.25">
      <c r="A1198" s="1">
        <v>45118</v>
      </c>
    </row>
    <row r="1199" spans="1:1" x14ac:dyDescent="0.25">
      <c r="A1199" s="1">
        <v>45119</v>
      </c>
    </row>
    <row r="1200" spans="1:1" x14ac:dyDescent="0.25">
      <c r="A1200" s="1">
        <v>45120</v>
      </c>
    </row>
    <row r="1201" spans="1:1" x14ac:dyDescent="0.25">
      <c r="A1201" s="1">
        <v>45121</v>
      </c>
    </row>
    <row r="1202" spans="1:1" x14ac:dyDescent="0.25">
      <c r="A1202" s="1">
        <v>45122</v>
      </c>
    </row>
    <row r="1203" spans="1:1" x14ac:dyDescent="0.25">
      <c r="A1203" s="1">
        <v>45123</v>
      </c>
    </row>
    <row r="1204" spans="1:1" x14ac:dyDescent="0.25">
      <c r="A1204" s="1">
        <v>45124</v>
      </c>
    </row>
    <row r="1205" spans="1:1" x14ac:dyDescent="0.25">
      <c r="A1205" s="1">
        <v>45125</v>
      </c>
    </row>
    <row r="1206" spans="1:1" x14ac:dyDescent="0.25">
      <c r="A1206" s="1">
        <v>45126</v>
      </c>
    </row>
    <row r="1207" spans="1:1" x14ac:dyDescent="0.25">
      <c r="A1207" s="1">
        <v>45127</v>
      </c>
    </row>
    <row r="1208" spans="1:1" x14ac:dyDescent="0.25">
      <c r="A1208" s="1">
        <v>45128</v>
      </c>
    </row>
    <row r="1209" spans="1:1" x14ac:dyDescent="0.25">
      <c r="A1209" s="1">
        <v>45129</v>
      </c>
    </row>
    <row r="1210" spans="1:1" x14ac:dyDescent="0.25">
      <c r="A1210" s="1">
        <v>45130</v>
      </c>
    </row>
    <row r="1211" spans="1:1" x14ac:dyDescent="0.25">
      <c r="A1211" s="1">
        <v>45131</v>
      </c>
    </row>
    <row r="1212" spans="1:1" x14ac:dyDescent="0.25">
      <c r="A1212" s="1">
        <v>45132</v>
      </c>
    </row>
    <row r="1213" spans="1:1" x14ac:dyDescent="0.25">
      <c r="A1213" s="1">
        <v>45133</v>
      </c>
    </row>
    <row r="1214" spans="1:1" x14ac:dyDescent="0.25">
      <c r="A1214" s="1">
        <v>45134</v>
      </c>
    </row>
    <row r="1215" spans="1:1" x14ac:dyDescent="0.25">
      <c r="A1215" s="1">
        <v>45135</v>
      </c>
    </row>
    <row r="1216" spans="1:1" x14ac:dyDescent="0.25">
      <c r="A1216" s="1">
        <v>45136</v>
      </c>
    </row>
    <row r="1217" spans="1:1" x14ac:dyDescent="0.25">
      <c r="A1217" s="1">
        <v>45137</v>
      </c>
    </row>
    <row r="1218" spans="1:1" x14ac:dyDescent="0.25">
      <c r="A1218" s="1">
        <v>45138</v>
      </c>
    </row>
    <row r="1219" spans="1:1" x14ac:dyDescent="0.25">
      <c r="A1219" s="1">
        <v>45139</v>
      </c>
    </row>
    <row r="1220" spans="1:1" x14ac:dyDescent="0.25">
      <c r="A1220" s="1">
        <v>45140</v>
      </c>
    </row>
    <row r="1221" spans="1:1" x14ac:dyDescent="0.25">
      <c r="A1221" s="1">
        <v>45141</v>
      </c>
    </row>
    <row r="1222" spans="1:1" x14ac:dyDescent="0.25">
      <c r="A1222" s="1">
        <v>45142</v>
      </c>
    </row>
    <row r="1223" spans="1:1" x14ac:dyDescent="0.25">
      <c r="A1223" s="1">
        <v>45143</v>
      </c>
    </row>
    <row r="1224" spans="1:1" x14ac:dyDescent="0.25">
      <c r="A1224" s="1">
        <v>45144</v>
      </c>
    </row>
    <row r="1225" spans="1:1" x14ac:dyDescent="0.25">
      <c r="A1225" s="1">
        <v>45145</v>
      </c>
    </row>
    <row r="1226" spans="1:1" x14ac:dyDescent="0.25">
      <c r="A1226" s="1">
        <v>45146</v>
      </c>
    </row>
    <row r="1227" spans="1:1" x14ac:dyDescent="0.25">
      <c r="A1227" s="1">
        <v>45147</v>
      </c>
    </row>
    <row r="1228" spans="1:1" x14ac:dyDescent="0.25">
      <c r="A1228" s="1">
        <v>45148</v>
      </c>
    </row>
    <row r="1229" spans="1:1" x14ac:dyDescent="0.25">
      <c r="A1229" s="1">
        <v>45149</v>
      </c>
    </row>
    <row r="1230" spans="1:1" x14ac:dyDescent="0.25">
      <c r="A1230" s="1">
        <v>45150</v>
      </c>
    </row>
    <row r="1231" spans="1:1" x14ac:dyDescent="0.25">
      <c r="A1231" s="1">
        <v>45151</v>
      </c>
    </row>
    <row r="1232" spans="1:1" x14ac:dyDescent="0.25">
      <c r="A1232" s="1">
        <v>45152</v>
      </c>
    </row>
    <row r="1233" spans="1:1" x14ac:dyDescent="0.25">
      <c r="A1233" s="1">
        <v>45153</v>
      </c>
    </row>
    <row r="1234" spans="1:1" x14ac:dyDescent="0.25">
      <c r="A1234" s="1">
        <v>45154</v>
      </c>
    </row>
    <row r="1235" spans="1:1" x14ac:dyDescent="0.25">
      <c r="A1235" s="1">
        <v>45155</v>
      </c>
    </row>
    <row r="1236" spans="1:1" x14ac:dyDescent="0.25">
      <c r="A1236" s="1">
        <v>45156</v>
      </c>
    </row>
    <row r="1237" spans="1:1" x14ac:dyDescent="0.25">
      <c r="A1237" s="1">
        <v>45157</v>
      </c>
    </row>
    <row r="1238" spans="1:1" x14ac:dyDescent="0.25">
      <c r="A1238" s="1">
        <v>45158</v>
      </c>
    </row>
    <row r="1239" spans="1:1" x14ac:dyDescent="0.25">
      <c r="A1239" s="1">
        <v>45159</v>
      </c>
    </row>
    <row r="1240" spans="1:1" x14ac:dyDescent="0.25">
      <c r="A1240" s="1">
        <v>45160</v>
      </c>
    </row>
    <row r="1241" spans="1:1" x14ac:dyDescent="0.25">
      <c r="A1241" s="1">
        <v>45161</v>
      </c>
    </row>
    <row r="1242" spans="1:1" x14ac:dyDescent="0.25">
      <c r="A1242" s="1">
        <v>45162</v>
      </c>
    </row>
    <row r="1243" spans="1:1" x14ac:dyDescent="0.25">
      <c r="A1243" s="1">
        <v>45163</v>
      </c>
    </row>
    <row r="1244" spans="1:1" x14ac:dyDescent="0.25">
      <c r="A1244" s="1">
        <v>45164</v>
      </c>
    </row>
    <row r="1245" spans="1:1" x14ac:dyDescent="0.25">
      <c r="A1245" s="1">
        <v>45165</v>
      </c>
    </row>
    <row r="1246" spans="1:1" x14ac:dyDescent="0.25">
      <c r="A1246" s="1">
        <v>45166</v>
      </c>
    </row>
    <row r="1247" spans="1:1" x14ac:dyDescent="0.25">
      <c r="A1247" s="1">
        <v>45167</v>
      </c>
    </row>
    <row r="1248" spans="1:1" x14ac:dyDescent="0.25">
      <c r="A1248" s="1">
        <v>45168</v>
      </c>
    </row>
    <row r="1249" spans="1:1" x14ac:dyDescent="0.25">
      <c r="A1249" s="1">
        <v>45169</v>
      </c>
    </row>
    <row r="1250" spans="1:1" x14ac:dyDescent="0.25">
      <c r="A1250" s="1">
        <v>45170</v>
      </c>
    </row>
    <row r="1251" spans="1:1" x14ac:dyDescent="0.25">
      <c r="A1251" s="1">
        <v>45171</v>
      </c>
    </row>
    <row r="1252" spans="1:1" x14ac:dyDescent="0.25">
      <c r="A1252" s="1">
        <v>45172</v>
      </c>
    </row>
    <row r="1253" spans="1:1" x14ac:dyDescent="0.25">
      <c r="A1253" s="1">
        <v>45173</v>
      </c>
    </row>
    <row r="1254" spans="1:1" x14ac:dyDescent="0.25">
      <c r="A1254" s="1">
        <v>45174</v>
      </c>
    </row>
    <row r="1255" spans="1:1" x14ac:dyDescent="0.25">
      <c r="A1255" s="1">
        <v>45175</v>
      </c>
    </row>
    <row r="1256" spans="1:1" x14ac:dyDescent="0.25">
      <c r="A1256" s="1">
        <v>45176</v>
      </c>
    </row>
    <row r="1257" spans="1:1" x14ac:dyDescent="0.25">
      <c r="A1257" s="1">
        <v>45177</v>
      </c>
    </row>
    <row r="1258" spans="1:1" x14ac:dyDescent="0.25">
      <c r="A1258" s="1">
        <v>45178</v>
      </c>
    </row>
    <row r="1259" spans="1:1" x14ac:dyDescent="0.25">
      <c r="A1259" s="1">
        <v>45179</v>
      </c>
    </row>
    <row r="1260" spans="1:1" x14ac:dyDescent="0.25">
      <c r="A1260" s="1">
        <v>45180</v>
      </c>
    </row>
    <row r="1261" spans="1:1" x14ac:dyDescent="0.25">
      <c r="A1261" s="1">
        <v>45181</v>
      </c>
    </row>
    <row r="1262" spans="1:1" x14ac:dyDescent="0.25">
      <c r="A1262" s="1">
        <v>45182</v>
      </c>
    </row>
    <row r="1263" spans="1:1" x14ac:dyDescent="0.25">
      <c r="A1263" s="1">
        <v>45183</v>
      </c>
    </row>
    <row r="1264" spans="1:1" x14ac:dyDescent="0.25">
      <c r="A1264" s="1">
        <v>45184</v>
      </c>
    </row>
    <row r="1265" spans="1:1" x14ac:dyDescent="0.25">
      <c r="A1265" s="1">
        <v>45185</v>
      </c>
    </row>
    <row r="1266" spans="1:1" x14ac:dyDescent="0.25">
      <c r="A1266" s="1">
        <v>45186</v>
      </c>
    </row>
    <row r="1267" spans="1:1" x14ac:dyDescent="0.25">
      <c r="A1267" s="1">
        <v>45187</v>
      </c>
    </row>
    <row r="1268" spans="1:1" x14ac:dyDescent="0.25">
      <c r="A1268" s="1">
        <v>45188</v>
      </c>
    </row>
    <row r="1269" spans="1:1" x14ac:dyDescent="0.25">
      <c r="A1269" s="1">
        <v>45189</v>
      </c>
    </row>
    <row r="1270" spans="1:1" x14ac:dyDescent="0.25">
      <c r="A1270" s="1">
        <v>45190</v>
      </c>
    </row>
    <row r="1271" spans="1:1" x14ac:dyDescent="0.25">
      <c r="A1271" s="1">
        <v>45191</v>
      </c>
    </row>
    <row r="1272" spans="1:1" x14ac:dyDescent="0.25">
      <c r="A1272" s="1">
        <v>45192</v>
      </c>
    </row>
    <row r="1273" spans="1:1" x14ac:dyDescent="0.25">
      <c r="A1273" s="1">
        <v>45193</v>
      </c>
    </row>
    <row r="1274" spans="1:1" x14ac:dyDescent="0.25">
      <c r="A1274" s="1">
        <v>45194</v>
      </c>
    </row>
    <row r="1275" spans="1:1" x14ac:dyDescent="0.25">
      <c r="A1275" s="1">
        <v>45195</v>
      </c>
    </row>
    <row r="1276" spans="1:1" x14ac:dyDescent="0.25">
      <c r="A1276" s="1">
        <v>45196</v>
      </c>
    </row>
    <row r="1277" spans="1:1" x14ac:dyDescent="0.25">
      <c r="A1277" s="1">
        <v>45197</v>
      </c>
    </row>
    <row r="1278" spans="1:1" x14ac:dyDescent="0.25">
      <c r="A1278" s="1">
        <v>45198</v>
      </c>
    </row>
    <row r="1279" spans="1:1" x14ac:dyDescent="0.25">
      <c r="A1279" s="1">
        <v>45199</v>
      </c>
    </row>
    <row r="1280" spans="1:1" x14ac:dyDescent="0.25">
      <c r="A1280" s="1">
        <v>45200</v>
      </c>
    </row>
    <row r="1281" spans="1:1" x14ac:dyDescent="0.25">
      <c r="A1281" s="1">
        <v>45201</v>
      </c>
    </row>
    <row r="1282" spans="1:1" x14ac:dyDescent="0.25">
      <c r="A1282" s="1">
        <v>45202</v>
      </c>
    </row>
    <row r="1283" spans="1:1" x14ac:dyDescent="0.25">
      <c r="A1283" s="1">
        <v>45203</v>
      </c>
    </row>
    <row r="1284" spans="1:1" x14ac:dyDescent="0.25">
      <c r="A1284" s="1">
        <v>45204</v>
      </c>
    </row>
    <row r="1285" spans="1:1" x14ac:dyDescent="0.25">
      <c r="A1285" s="1">
        <v>45205</v>
      </c>
    </row>
    <row r="1286" spans="1:1" x14ac:dyDescent="0.25">
      <c r="A1286" s="1">
        <v>45206</v>
      </c>
    </row>
    <row r="1287" spans="1:1" x14ac:dyDescent="0.25">
      <c r="A1287" s="1">
        <v>45207</v>
      </c>
    </row>
    <row r="1288" spans="1:1" x14ac:dyDescent="0.25">
      <c r="A1288" s="1">
        <v>45208</v>
      </c>
    </row>
    <row r="1289" spans="1:1" x14ac:dyDescent="0.25">
      <c r="A1289" s="1">
        <v>45209</v>
      </c>
    </row>
    <row r="1290" spans="1:1" x14ac:dyDescent="0.25">
      <c r="A1290" s="1">
        <v>45210</v>
      </c>
    </row>
    <row r="1291" spans="1:1" x14ac:dyDescent="0.25">
      <c r="A1291" s="1">
        <v>45211</v>
      </c>
    </row>
    <row r="1292" spans="1:1" x14ac:dyDescent="0.25">
      <c r="A1292" s="1">
        <v>45212</v>
      </c>
    </row>
    <row r="1293" spans="1:1" x14ac:dyDescent="0.25">
      <c r="A1293" s="1">
        <v>45213</v>
      </c>
    </row>
    <row r="1294" spans="1:1" x14ac:dyDescent="0.25">
      <c r="A1294" s="1">
        <v>45214</v>
      </c>
    </row>
    <row r="1295" spans="1:1" x14ac:dyDescent="0.25">
      <c r="A1295" s="1">
        <v>45215</v>
      </c>
    </row>
    <row r="1296" spans="1:1" x14ac:dyDescent="0.25">
      <c r="A1296" s="1">
        <v>45216</v>
      </c>
    </row>
    <row r="1297" spans="1:1" x14ac:dyDescent="0.25">
      <c r="A1297" s="1">
        <v>45217</v>
      </c>
    </row>
    <row r="1298" spans="1:1" x14ac:dyDescent="0.25">
      <c r="A1298" s="1">
        <v>45218</v>
      </c>
    </row>
    <row r="1299" spans="1:1" x14ac:dyDescent="0.25">
      <c r="A1299" s="1">
        <v>45219</v>
      </c>
    </row>
    <row r="1300" spans="1:1" x14ac:dyDescent="0.25">
      <c r="A1300" s="1">
        <v>45220</v>
      </c>
    </row>
    <row r="1301" spans="1:1" x14ac:dyDescent="0.25">
      <c r="A1301" s="1">
        <v>45221</v>
      </c>
    </row>
    <row r="1302" spans="1:1" x14ac:dyDescent="0.25">
      <c r="A1302" s="1">
        <v>45222</v>
      </c>
    </row>
    <row r="1303" spans="1:1" x14ac:dyDescent="0.25">
      <c r="A1303" s="1">
        <v>45223</v>
      </c>
    </row>
    <row r="1304" spans="1:1" x14ac:dyDescent="0.25">
      <c r="A1304" s="1">
        <v>45224</v>
      </c>
    </row>
    <row r="1305" spans="1:1" x14ac:dyDescent="0.25">
      <c r="A1305" s="1">
        <v>45225</v>
      </c>
    </row>
    <row r="1306" spans="1:1" x14ac:dyDescent="0.25">
      <c r="A1306" s="1">
        <v>45226</v>
      </c>
    </row>
    <row r="1307" spans="1:1" x14ac:dyDescent="0.25">
      <c r="A1307" s="1">
        <v>45227</v>
      </c>
    </row>
    <row r="1308" spans="1:1" x14ac:dyDescent="0.25">
      <c r="A1308" s="1">
        <v>45228</v>
      </c>
    </row>
    <row r="1309" spans="1:1" x14ac:dyDescent="0.25">
      <c r="A1309" s="1">
        <v>45229</v>
      </c>
    </row>
    <row r="1310" spans="1:1" x14ac:dyDescent="0.25">
      <c r="A1310" s="1">
        <v>45230</v>
      </c>
    </row>
    <row r="1311" spans="1:1" x14ac:dyDescent="0.25">
      <c r="A1311" s="1">
        <v>45231</v>
      </c>
    </row>
    <row r="1312" spans="1:1" x14ac:dyDescent="0.25">
      <c r="A1312" s="1">
        <v>45232</v>
      </c>
    </row>
    <row r="1313" spans="1:1" x14ac:dyDescent="0.25">
      <c r="A1313" s="1">
        <v>45233</v>
      </c>
    </row>
    <row r="1314" spans="1:1" x14ac:dyDescent="0.25">
      <c r="A1314" s="1">
        <v>45234</v>
      </c>
    </row>
    <row r="1315" spans="1:1" x14ac:dyDescent="0.25">
      <c r="A1315" s="1">
        <v>45235</v>
      </c>
    </row>
    <row r="1316" spans="1:1" x14ac:dyDescent="0.25">
      <c r="A1316" s="1">
        <v>45236</v>
      </c>
    </row>
    <row r="1317" spans="1:1" x14ac:dyDescent="0.25">
      <c r="A1317" s="1">
        <v>45237</v>
      </c>
    </row>
    <row r="1318" spans="1:1" x14ac:dyDescent="0.25">
      <c r="A1318" s="1">
        <v>45238</v>
      </c>
    </row>
    <row r="1319" spans="1:1" x14ac:dyDescent="0.25">
      <c r="A1319" s="1">
        <v>45239</v>
      </c>
    </row>
    <row r="1320" spans="1:1" x14ac:dyDescent="0.25">
      <c r="A1320" s="1">
        <v>45240</v>
      </c>
    </row>
    <row r="1321" spans="1:1" x14ac:dyDescent="0.25">
      <c r="A1321" s="1">
        <v>45241</v>
      </c>
    </row>
    <row r="1322" spans="1:1" x14ac:dyDescent="0.25">
      <c r="A1322" s="1">
        <v>45242</v>
      </c>
    </row>
    <row r="1323" spans="1:1" x14ac:dyDescent="0.25">
      <c r="A1323" s="1">
        <v>45243</v>
      </c>
    </row>
    <row r="1324" spans="1:1" x14ac:dyDescent="0.25">
      <c r="A1324" s="1">
        <v>45244</v>
      </c>
    </row>
    <row r="1325" spans="1:1" x14ac:dyDescent="0.25">
      <c r="A1325" s="1">
        <v>45245</v>
      </c>
    </row>
    <row r="1326" spans="1:1" x14ac:dyDescent="0.25">
      <c r="A1326" s="1">
        <v>45246</v>
      </c>
    </row>
    <row r="1327" spans="1:1" x14ac:dyDescent="0.25">
      <c r="A1327" s="1">
        <v>45247</v>
      </c>
    </row>
    <row r="1328" spans="1:1" x14ac:dyDescent="0.25">
      <c r="A1328" s="1">
        <v>45248</v>
      </c>
    </row>
    <row r="1329" spans="1:1" x14ac:dyDescent="0.25">
      <c r="A1329" s="1">
        <v>45249</v>
      </c>
    </row>
    <row r="1330" spans="1:1" x14ac:dyDescent="0.25">
      <c r="A1330" s="1">
        <v>45250</v>
      </c>
    </row>
    <row r="1331" spans="1:1" x14ac:dyDescent="0.25">
      <c r="A1331" s="1">
        <v>45251</v>
      </c>
    </row>
    <row r="1332" spans="1:1" x14ac:dyDescent="0.25">
      <c r="A1332" s="1">
        <v>45252</v>
      </c>
    </row>
    <row r="1333" spans="1:1" x14ac:dyDescent="0.25">
      <c r="A1333" s="1">
        <v>45253</v>
      </c>
    </row>
    <row r="1334" spans="1:1" x14ac:dyDescent="0.25">
      <c r="A1334" s="1">
        <v>45254</v>
      </c>
    </row>
    <row r="1335" spans="1:1" x14ac:dyDescent="0.25">
      <c r="A1335" s="1">
        <v>45255</v>
      </c>
    </row>
    <row r="1336" spans="1:1" x14ac:dyDescent="0.25">
      <c r="A1336" s="1">
        <v>45256</v>
      </c>
    </row>
    <row r="1337" spans="1:1" x14ac:dyDescent="0.25">
      <c r="A1337" s="1">
        <v>45257</v>
      </c>
    </row>
    <row r="1338" spans="1:1" x14ac:dyDescent="0.25">
      <c r="A1338" s="1">
        <v>45258</v>
      </c>
    </row>
    <row r="1339" spans="1:1" x14ac:dyDescent="0.25">
      <c r="A1339" s="1">
        <v>45259</v>
      </c>
    </row>
    <row r="1340" spans="1:1" x14ac:dyDescent="0.25">
      <c r="A1340" s="1">
        <v>45260</v>
      </c>
    </row>
    <row r="1341" spans="1:1" x14ac:dyDescent="0.25">
      <c r="A1341" s="1">
        <v>45261</v>
      </c>
    </row>
    <row r="1342" spans="1:1" x14ac:dyDescent="0.25">
      <c r="A1342" s="1">
        <v>45262</v>
      </c>
    </row>
    <row r="1343" spans="1:1" x14ac:dyDescent="0.25">
      <c r="A1343" s="1">
        <v>45263</v>
      </c>
    </row>
    <row r="1344" spans="1:1" x14ac:dyDescent="0.25">
      <c r="A1344" s="1">
        <v>45264</v>
      </c>
    </row>
    <row r="1345" spans="1:1" x14ac:dyDescent="0.25">
      <c r="A1345" s="1">
        <v>45265</v>
      </c>
    </row>
    <row r="1346" spans="1:1" x14ac:dyDescent="0.25">
      <c r="A1346" s="1">
        <v>45266</v>
      </c>
    </row>
    <row r="1347" spans="1:1" x14ac:dyDescent="0.25">
      <c r="A1347" s="1">
        <v>45267</v>
      </c>
    </row>
    <row r="1348" spans="1:1" x14ac:dyDescent="0.25">
      <c r="A1348" s="1">
        <v>45268</v>
      </c>
    </row>
    <row r="1349" spans="1:1" x14ac:dyDescent="0.25">
      <c r="A1349" s="1">
        <v>45269</v>
      </c>
    </row>
    <row r="1350" spans="1:1" x14ac:dyDescent="0.25">
      <c r="A1350" s="1">
        <v>45270</v>
      </c>
    </row>
    <row r="1351" spans="1:1" x14ac:dyDescent="0.25">
      <c r="A1351" s="1">
        <v>45271</v>
      </c>
    </row>
    <row r="1352" spans="1:1" x14ac:dyDescent="0.25">
      <c r="A1352" s="1">
        <v>45272</v>
      </c>
    </row>
    <row r="1353" spans="1:1" x14ac:dyDescent="0.25">
      <c r="A1353" s="1">
        <v>45273</v>
      </c>
    </row>
    <row r="1354" spans="1:1" x14ac:dyDescent="0.25">
      <c r="A1354" s="1">
        <v>45274</v>
      </c>
    </row>
    <row r="1355" spans="1:1" x14ac:dyDescent="0.25">
      <c r="A1355" s="1">
        <v>45275</v>
      </c>
    </row>
    <row r="1356" spans="1:1" x14ac:dyDescent="0.25">
      <c r="A1356" s="1">
        <v>45276</v>
      </c>
    </row>
    <row r="1357" spans="1:1" x14ac:dyDescent="0.25">
      <c r="A1357" s="1">
        <v>45277</v>
      </c>
    </row>
    <row r="1358" spans="1:1" x14ac:dyDescent="0.25">
      <c r="A1358" s="1">
        <v>45278</v>
      </c>
    </row>
    <row r="1359" spans="1:1" x14ac:dyDescent="0.25">
      <c r="A1359" s="1">
        <v>45279</v>
      </c>
    </row>
    <row r="1360" spans="1:1" x14ac:dyDescent="0.25">
      <c r="A1360" s="1">
        <v>45280</v>
      </c>
    </row>
    <row r="1361" spans="1:1" x14ac:dyDescent="0.25">
      <c r="A1361" s="1">
        <v>45281</v>
      </c>
    </row>
    <row r="1362" spans="1:1" x14ac:dyDescent="0.25">
      <c r="A1362" s="1">
        <v>45282</v>
      </c>
    </row>
    <row r="1363" spans="1:1" x14ac:dyDescent="0.25">
      <c r="A1363" s="1">
        <v>45283</v>
      </c>
    </row>
    <row r="1364" spans="1:1" x14ac:dyDescent="0.25">
      <c r="A1364" s="1">
        <v>45284</v>
      </c>
    </row>
    <row r="1365" spans="1:1" x14ac:dyDescent="0.25">
      <c r="A1365" s="1">
        <v>45285</v>
      </c>
    </row>
    <row r="1366" spans="1:1" x14ac:dyDescent="0.25">
      <c r="A1366" s="1">
        <v>45286</v>
      </c>
    </row>
    <row r="1367" spans="1:1" x14ac:dyDescent="0.25">
      <c r="A1367" s="1">
        <v>45287</v>
      </c>
    </row>
    <row r="1368" spans="1:1" x14ac:dyDescent="0.25">
      <c r="A1368" s="1">
        <v>45288</v>
      </c>
    </row>
    <row r="1369" spans="1:1" x14ac:dyDescent="0.25">
      <c r="A1369" s="1">
        <v>45289</v>
      </c>
    </row>
    <row r="1370" spans="1:1" x14ac:dyDescent="0.25">
      <c r="A1370" s="1">
        <v>45290</v>
      </c>
    </row>
    <row r="1371" spans="1:1" x14ac:dyDescent="0.25">
      <c r="A1371" s="1">
        <v>45291</v>
      </c>
    </row>
    <row r="1372" spans="1:1" x14ac:dyDescent="0.25">
      <c r="A1372" s="1">
        <v>45292</v>
      </c>
    </row>
    <row r="1373" spans="1:1" x14ac:dyDescent="0.25">
      <c r="A1373" s="1">
        <v>45293</v>
      </c>
    </row>
    <row r="1374" spans="1:1" x14ac:dyDescent="0.25">
      <c r="A1374" s="1">
        <v>45294</v>
      </c>
    </row>
    <row r="1375" spans="1:1" x14ac:dyDescent="0.25">
      <c r="A1375" s="1">
        <v>45295</v>
      </c>
    </row>
    <row r="1376" spans="1:1" x14ac:dyDescent="0.25">
      <c r="A1376" s="1">
        <v>45296</v>
      </c>
    </row>
    <row r="1377" spans="1:1" x14ac:dyDescent="0.25">
      <c r="A1377" s="1">
        <v>45297</v>
      </c>
    </row>
    <row r="1378" spans="1:1" x14ac:dyDescent="0.25">
      <c r="A1378" s="1">
        <v>45298</v>
      </c>
    </row>
    <row r="1379" spans="1:1" x14ac:dyDescent="0.25">
      <c r="A1379" s="1">
        <v>45299</v>
      </c>
    </row>
    <row r="1380" spans="1:1" x14ac:dyDescent="0.25">
      <c r="A1380" s="1">
        <v>45300</v>
      </c>
    </row>
    <row r="1381" spans="1:1" x14ac:dyDescent="0.25">
      <c r="A1381" s="1">
        <v>45301</v>
      </c>
    </row>
    <row r="1382" spans="1:1" x14ac:dyDescent="0.25">
      <c r="A1382" s="1">
        <v>45302</v>
      </c>
    </row>
    <row r="1383" spans="1:1" x14ac:dyDescent="0.25">
      <c r="A1383" s="1">
        <v>45303</v>
      </c>
    </row>
    <row r="1384" spans="1:1" x14ac:dyDescent="0.25">
      <c r="A1384" s="1">
        <v>45304</v>
      </c>
    </row>
    <row r="1385" spans="1:1" x14ac:dyDescent="0.25">
      <c r="A1385" s="1">
        <v>45305</v>
      </c>
    </row>
    <row r="1386" spans="1:1" x14ac:dyDescent="0.25">
      <c r="A1386" s="1">
        <v>45306</v>
      </c>
    </row>
    <row r="1387" spans="1:1" x14ac:dyDescent="0.25">
      <c r="A1387" s="1">
        <v>45307</v>
      </c>
    </row>
    <row r="1388" spans="1:1" x14ac:dyDescent="0.25">
      <c r="A1388" s="1">
        <v>45308</v>
      </c>
    </row>
    <row r="1389" spans="1:1" x14ac:dyDescent="0.25">
      <c r="A1389" s="1">
        <v>45309</v>
      </c>
    </row>
    <row r="1390" spans="1:1" x14ac:dyDescent="0.25">
      <c r="A1390" s="1">
        <v>45310</v>
      </c>
    </row>
    <row r="1391" spans="1:1" x14ac:dyDescent="0.25">
      <c r="A1391" s="1">
        <v>45311</v>
      </c>
    </row>
    <row r="1392" spans="1:1" x14ac:dyDescent="0.25">
      <c r="A1392" s="1">
        <v>45312</v>
      </c>
    </row>
    <row r="1393" spans="1:1" x14ac:dyDescent="0.25">
      <c r="A1393" s="1">
        <v>45313</v>
      </c>
    </row>
    <row r="1394" spans="1:1" x14ac:dyDescent="0.25">
      <c r="A1394" s="1">
        <v>45314</v>
      </c>
    </row>
    <row r="1395" spans="1:1" x14ac:dyDescent="0.25">
      <c r="A1395" s="1">
        <v>45315</v>
      </c>
    </row>
    <row r="1396" spans="1:1" x14ac:dyDescent="0.25">
      <c r="A1396" s="1">
        <v>45316</v>
      </c>
    </row>
    <row r="1397" spans="1:1" x14ac:dyDescent="0.25">
      <c r="A1397" s="1">
        <v>45317</v>
      </c>
    </row>
    <row r="1398" spans="1:1" x14ac:dyDescent="0.25">
      <c r="A1398" s="1">
        <v>45318</v>
      </c>
    </row>
    <row r="1399" spans="1:1" x14ac:dyDescent="0.25">
      <c r="A1399" s="1">
        <v>45319</v>
      </c>
    </row>
    <row r="1400" spans="1:1" x14ac:dyDescent="0.25">
      <c r="A1400" s="1">
        <v>45320</v>
      </c>
    </row>
    <row r="1401" spans="1:1" x14ac:dyDescent="0.25">
      <c r="A1401" s="1">
        <v>45321</v>
      </c>
    </row>
    <row r="1402" spans="1:1" x14ac:dyDescent="0.25">
      <c r="A1402" s="1">
        <v>45322</v>
      </c>
    </row>
    <row r="1403" spans="1:1" x14ac:dyDescent="0.25">
      <c r="A1403" s="1">
        <v>45323</v>
      </c>
    </row>
    <row r="1404" spans="1:1" x14ac:dyDescent="0.25">
      <c r="A1404" s="1">
        <v>45324</v>
      </c>
    </row>
    <row r="1405" spans="1:1" x14ac:dyDescent="0.25">
      <c r="A1405" s="1">
        <v>45325</v>
      </c>
    </row>
    <row r="1406" spans="1:1" x14ac:dyDescent="0.25">
      <c r="A1406" s="1">
        <v>45326</v>
      </c>
    </row>
    <row r="1407" spans="1:1" x14ac:dyDescent="0.25">
      <c r="A1407" s="1">
        <v>45327</v>
      </c>
    </row>
    <row r="1408" spans="1:1" x14ac:dyDescent="0.25">
      <c r="A1408" s="1">
        <v>45328</v>
      </c>
    </row>
    <row r="1409" spans="1:1" x14ac:dyDescent="0.25">
      <c r="A1409" s="1">
        <v>45329</v>
      </c>
    </row>
    <row r="1410" spans="1:1" x14ac:dyDescent="0.25">
      <c r="A1410" s="1">
        <v>45330</v>
      </c>
    </row>
    <row r="1411" spans="1:1" x14ac:dyDescent="0.25">
      <c r="A1411" s="1">
        <v>45331</v>
      </c>
    </row>
    <row r="1412" spans="1:1" x14ac:dyDescent="0.25">
      <c r="A1412" s="1">
        <v>45332</v>
      </c>
    </row>
    <row r="1413" spans="1:1" x14ac:dyDescent="0.25">
      <c r="A1413" s="1">
        <v>45333</v>
      </c>
    </row>
    <row r="1414" spans="1:1" x14ac:dyDescent="0.25">
      <c r="A1414" s="1">
        <v>45334</v>
      </c>
    </row>
    <row r="1415" spans="1:1" x14ac:dyDescent="0.25">
      <c r="A1415" s="1">
        <v>45335</v>
      </c>
    </row>
    <row r="1416" spans="1:1" x14ac:dyDescent="0.25">
      <c r="A1416" s="1">
        <v>45336</v>
      </c>
    </row>
    <row r="1417" spans="1:1" x14ac:dyDescent="0.25">
      <c r="A1417" s="1">
        <v>45337</v>
      </c>
    </row>
    <row r="1418" spans="1:1" x14ac:dyDescent="0.25">
      <c r="A1418" s="1">
        <v>45338</v>
      </c>
    </row>
    <row r="1419" spans="1:1" x14ac:dyDescent="0.25">
      <c r="A1419" s="1">
        <v>45339</v>
      </c>
    </row>
    <row r="1420" spans="1:1" x14ac:dyDescent="0.25">
      <c r="A1420" s="1">
        <v>45340</v>
      </c>
    </row>
    <row r="1421" spans="1:1" x14ac:dyDescent="0.25">
      <c r="A1421" s="1">
        <v>45341</v>
      </c>
    </row>
    <row r="1422" spans="1:1" x14ac:dyDescent="0.25">
      <c r="A1422" s="1">
        <v>45342</v>
      </c>
    </row>
    <row r="1423" spans="1:1" x14ac:dyDescent="0.25">
      <c r="A1423" s="1">
        <v>45343</v>
      </c>
    </row>
    <row r="1424" spans="1:1" x14ac:dyDescent="0.25">
      <c r="A1424" s="1">
        <v>45344</v>
      </c>
    </row>
    <row r="1425" spans="1:1" x14ac:dyDescent="0.25">
      <c r="A1425" s="1">
        <v>45345</v>
      </c>
    </row>
    <row r="1426" spans="1:1" x14ac:dyDescent="0.25">
      <c r="A1426" s="1">
        <v>45346</v>
      </c>
    </row>
    <row r="1427" spans="1:1" x14ac:dyDescent="0.25">
      <c r="A1427" s="1">
        <v>45347</v>
      </c>
    </row>
    <row r="1428" spans="1:1" x14ac:dyDescent="0.25">
      <c r="A1428" s="1">
        <v>45348</v>
      </c>
    </row>
    <row r="1429" spans="1:1" x14ac:dyDescent="0.25">
      <c r="A1429" s="1">
        <v>45349</v>
      </c>
    </row>
    <row r="1430" spans="1:1" x14ac:dyDescent="0.25">
      <c r="A1430" s="1">
        <v>45350</v>
      </c>
    </row>
    <row r="1431" spans="1:1" x14ac:dyDescent="0.25">
      <c r="A1431" s="1">
        <v>45351</v>
      </c>
    </row>
    <row r="1432" spans="1:1" x14ac:dyDescent="0.25">
      <c r="A1432" s="1">
        <v>45352</v>
      </c>
    </row>
    <row r="1433" spans="1:1" x14ac:dyDescent="0.25">
      <c r="A1433" s="1">
        <v>45353</v>
      </c>
    </row>
    <row r="1434" spans="1:1" x14ac:dyDescent="0.25">
      <c r="A1434" s="1">
        <v>45354</v>
      </c>
    </row>
    <row r="1435" spans="1:1" x14ac:dyDescent="0.25">
      <c r="A1435" s="1">
        <v>45355</v>
      </c>
    </row>
    <row r="1436" spans="1:1" x14ac:dyDescent="0.25">
      <c r="A1436" s="1">
        <v>45356</v>
      </c>
    </row>
    <row r="1437" spans="1:1" x14ac:dyDescent="0.25">
      <c r="A1437" s="1">
        <v>45357</v>
      </c>
    </row>
    <row r="1438" spans="1:1" x14ac:dyDescent="0.25">
      <c r="A1438" s="1">
        <v>45358</v>
      </c>
    </row>
    <row r="1439" spans="1:1" x14ac:dyDescent="0.25">
      <c r="A1439" s="1">
        <v>45359</v>
      </c>
    </row>
    <row r="1440" spans="1:1" x14ac:dyDescent="0.25">
      <c r="A1440" s="1">
        <v>45360</v>
      </c>
    </row>
    <row r="1441" spans="1:1" x14ac:dyDescent="0.25">
      <c r="A1441" s="1">
        <v>45361</v>
      </c>
    </row>
    <row r="1442" spans="1:1" x14ac:dyDescent="0.25">
      <c r="A1442" s="1">
        <v>45362</v>
      </c>
    </row>
    <row r="1443" spans="1:1" x14ac:dyDescent="0.25">
      <c r="A1443" s="1">
        <v>45363</v>
      </c>
    </row>
    <row r="1444" spans="1:1" x14ac:dyDescent="0.25">
      <c r="A1444" s="1">
        <v>45364</v>
      </c>
    </row>
    <row r="1445" spans="1:1" x14ac:dyDescent="0.25">
      <c r="A1445" s="1">
        <v>45365</v>
      </c>
    </row>
    <row r="1446" spans="1:1" x14ac:dyDescent="0.25">
      <c r="A1446" s="1">
        <v>45366</v>
      </c>
    </row>
    <row r="1447" spans="1:1" x14ac:dyDescent="0.25">
      <c r="A1447" s="1">
        <v>45367</v>
      </c>
    </row>
    <row r="1448" spans="1:1" x14ac:dyDescent="0.25">
      <c r="A1448" s="1">
        <v>45368</v>
      </c>
    </row>
    <row r="1449" spans="1:1" x14ac:dyDescent="0.25">
      <c r="A1449" s="1">
        <v>45369</v>
      </c>
    </row>
    <row r="1450" spans="1:1" x14ac:dyDescent="0.25">
      <c r="A1450" s="1">
        <v>45370</v>
      </c>
    </row>
    <row r="1451" spans="1:1" x14ac:dyDescent="0.25">
      <c r="A1451" s="1">
        <v>45371</v>
      </c>
    </row>
    <row r="1452" spans="1:1" x14ac:dyDescent="0.25">
      <c r="A1452" s="1">
        <v>45372</v>
      </c>
    </row>
    <row r="1453" spans="1:1" x14ac:dyDescent="0.25">
      <c r="A1453" s="1">
        <v>45373</v>
      </c>
    </row>
    <row r="1454" spans="1:1" x14ac:dyDescent="0.25">
      <c r="A1454" s="1">
        <v>45374</v>
      </c>
    </row>
    <row r="1455" spans="1:1" x14ac:dyDescent="0.25">
      <c r="A1455" s="1">
        <v>45375</v>
      </c>
    </row>
    <row r="1456" spans="1:1" x14ac:dyDescent="0.25">
      <c r="A1456" s="1">
        <v>45376</v>
      </c>
    </row>
    <row r="1457" spans="1:1" x14ac:dyDescent="0.25">
      <c r="A1457" s="1">
        <v>45377</v>
      </c>
    </row>
    <row r="1458" spans="1:1" x14ac:dyDescent="0.25">
      <c r="A1458" s="1">
        <v>45378</v>
      </c>
    </row>
    <row r="1459" spans="1:1" x14ac:dyDescent="0.25">
      <c r="A1459" s="1">
        <v>45379</v>
      </c>
    </row>
    <row r="1460" spans="1:1" x14ac:dyDescent="0.25">
      <c r="A1460" s="1">
        <v>45380</v>
      </c>
    </row>
    <row r="1461" spans="1:1" x14ac:dyDescent="0.25">
      <c r="A1461" s="1">
        <v>45381</v>
      </c>
    </row>
    <row r="1462" spans="1:1" x14ac:dyDescent="0.25">
      <c r="A1462" s="1">
        <v>45382</v>
      </c>
    </row>
  </sheetData>
  <sheetProtection algorithmName="SHA-512" hashValue="FszYN755y5fMmOaRKAxgdM+tDDMgAHJXSoqy8rpvlLmyIY1HBKf5gsY5h75uq5CNvQd8UOLKCZ5yKKfzj6GXKA==" saltValue="TK8DvA/7k6lneruw0tBmug==" spinCount="100000" sheet="1" formatCells="0" formatColumns="0" formatRows="0" insertColumns="0" insertRows="0" insertHyperlinks="0" deleteColumns="0" deleteRows="0" sort="0" autoFilter="0" pivotTables="0"/>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1"/>
  <sheetViews>
    <sheetView topLeftCell="A58" workbookViewId="0">
      <selection activeCell="B22" sqref="B22"/>
    </sheetView>
  </sheetViews>
  <sheetFormatPr defaultRowHeight="15" x14ac:dyDescent="0.25"/>
  <cols>
    <col min="1" max="1" width="26.5703125" bestFit="1" customWidth="1"/>
    <col min="2" max="2" width="19.42578125" bestFit="1" customWidth="1"/>
    <col min="3" max="3" width="23" bestFit="1" customWidth="1"/>
    <col min="4" max="4" width="14.7109375" bestFit="1" customWidth="1"/>
  </cols>
  <sheetData>
    <row r="1" spans="1:2" x14ac:dyDescent="0.25">
      <c r="A1" t="s">
        <v>66</v>
      </c>
    </row>
    <row r="2" spans="1:2" x14ac:dyDescent="0.25">
      <c r="A2" s="14">
        <v>14661179964</v>
      </c>
    </row>
    <row r="4" spans="1:2" x14ac:dyDescent="0.25">
      <c r="A4" t="s">
        <v>67</v>
      </c>
    </row>
    <row r="5" spans="1:2" x14ac:dyDescent="0.25">
      <c r="A5" s="12">
        <v>2754</v>
      </c>
    </row>
    <row r="7" spans="1:2" x14ac:dyDescent="0.25">
      <c r="A7" t="s">
        <v>97</v>
      </c>
    </row>
    <row r="8" spans="1:2" x14ac:dyDescent="0.25">
      <c r="A8" s="14">
        <v>29322359.927999999</v>
      </c>
    </row>
    <row r="11" spans="1:2" x14ac:dyDescent="0.25">
      <c r="A11" s="6" t="s">
        <v>99</v>
      </c>
      <c r="B11" s="14" t="s">
        <v>66</v>
      </c>
    </row>
    <row r="12" spans="1:2" x14ac:dyDescent="0.25">
      <c r="A12" s="7" t="s">
        <v>56</v>
      </c>
      <c r="B12" s="14">
        <v>2551597139</v>
      </c>
    </row>
    <row r="13" spans="1:2" x14ac:dyDescent="0.25">
      <c r="A13" s="7" t="s">
        <v>16</v>
      </c>
      <c r="B13" s="14">
        <v>2999010922</v>
      </c>
    </row>
    <row r="14" spans="1:2" x14ac:dyDescent="0.25">
      <c r="A14" s="7" t="s">
        <v>26</v>
      </c>
      <c r="B14" s="14">
        <v>3117477420</v>
      </c>
    </row>
    <row r="15" spans="1:2" x14ac:dyDescent="0.25">
      <c r="A15" s="7" t="s">
        <v>21</v>
      </c>
      <c r="B15" s="14">
        <v>2078180596</v>
      </c>
    </row>
    <row r="16" spans="1:2" x14ac:dyDescent="0.25">
      <c r="A16" s="7" t="s">
        <v>35</v>
      </c>
      <c r="B16" s="14">
        <v>3914913887</v>
      </c>
    </row>
    <row r="17" spans="1:3" x14ac:dyDescent="0.25">
      <c r="A17" s="7" t="s">
        <v>69</v>
      </c>
      <c r="B17" s="14">
        <v>14661179964</v>
      </c>
    </row>
    <row r="19" spans="1:3" x14ac:dyDescent="0.25">
      <c r="A19" s="6" t="s">
        <v>98</v>
      </c>
      <c r="B19" s="14" t="s">
        <v>95</v>
      </c>
      <c r="C19" s="14" t="s">
        <v>66</v>
      </c>
    </row>
    <row r="20" spans="1:3" x14ac:dyDescent="0.25">
      <c r="A20" s="7" t="s">
        <v>56</v>
      </c>
      <c r="B20" s="14">
        <v>1822569385.0000002</v>
      </c>
      <c r="C20" s="14">
        <v>2551597139</v>
      </c>
    </row>
    <row r="21" spans="1:3" x14ac:dyDescent="0.25">
      <c r="A21" s="7" t="s">
        <v>16</v>
      </c>
      <c r="B21" s="14">
        <v>2142150658.5714285</v>
      </c>
      <c r="C21" s="14">
        <v>2999010922</v>
      </c>
    </row>
    <row r="22" spans="1:3" x14ac:dyDescent="0.25">
      <c r="A22" s="7" t="s">
        <v>26</v>
      </c>
      <c r="B22" s="14">
        <v>2226769585.7142849</v>
      </c>
      <c r="C22" s="14">
        <v>3117477420</v>
      </c>
    </row>
    <row r="23" spans="1:3" x14ac:dyDescent="0.25">
      <c r="A23" s="7" t="s">
        <v>21</v>
      </c>
      <c r="B23" s="14">
        <v>1484414711.4285715</v>
      </c>
      <c r="C23" s="14">
        <v>2078180596</v>
      </c>
    </row>
    <row r="24" spans="1:3" x14ac:dyDescent="0.25">
      <c r="A24" s="7" t="s">
        <v>35</v>
      </c>
      <c r="B24" s="14">
        <v>2796367062.1428571</v>
      </c>
      <c r="C24" s="14">
        <v>3914913887</v>
      </c>
    </row>
    <row r="25" spans="1:3" x14ac:dyDescent="0.25">
      <c r="A25" s="7" t="s">
        <v>69</v>
      </c>
      <c r="B25" s="14">
        <v>10472271402.857141</v>
      </c>
      <c r="C25" s="14">
        <v>14661179964</v>
      </c>
    </row>
    <row r="28" spans="1:3" x14ac:dyDescent="0.25">
      <c r="A28" s="6" t="s">
        <v>2</v>
      </c>
      <c r="B28" s="14" t="s">
        <v>66</v>
      </c>
    </row>
    <row r="29" spans="1:3" x14ac:dyDescent="0.25">
      <c r="A29" s="7" t="s">
        <v>70</v>
      </c>
      <c r="B29" s="14">
        <v>3087432038</v>
      </c>
    </row>
    <row r="30" spans="1:3" x14ac:dyDescent="0.25">
      <c r="A30" s="7" t="s">
        <v>71</v>
      </c>
      <c r="B30" s="14">
        <v>4024023269</v>
      </c>
    </row>
    <row r="31" spans="1:3" x14ac:dyDescent="0.25">
      <c r="A31" s="7" t="s">
        <v>72</v>
      </c>
      <c r="B31" s="14">
        <v>3068680931</v>
      </c>
    </row>
    <row r="32" spans="1:3" x14ac:dyDescent="0.25">
      <c r="A32" s="7" t="s">
        <v>73</v>
      </c>
      <c r="B32" s="14">
        <v>3454613411</v>
      </c>
    </row>
    <row r="33" spans="1:3" x14ac:dyDescent="0.25">
      <c r="A33" s="7" t="s">
        <v>74</v>
      </c>
      <c r="B33" s="14">
        <v>1026430315</v>
      </c>
    </row>
    <row r="34" spans="1:3" x14ac:dyDescent="0.25">
      <c r="A34" s="7" t="s">
        <v>69</v>
      </c>
      <c r="B34" s="14">
        <v>14661179964</v>
      </c>
    </row>
    <row r="36" spans="1:3" x14ac:dyDescent="0.25">
      <c r="A36" s="6" t="s">
        <v>9</v>
      </c>
      <c r="B36" s="14" t="s">
        <v>95</v>
      </c>
      <c r="C36" s="14" t="s">
        <v>66</v>
      </c>
    </row>
    <row r="37" spans="1:3" x14ac:dyDescent="0.25">
      <c r="A37" s="7" t="s">
        <v>45</v>
      </c>
      <c r="B37" s="14">
        <v>1284857522.8571429</v>
      </c>
      <c r="C37" s="14">
        <v>1798800532</v>
      </c>
    </row>
    <row r="38" spans="1:3" x14ac:dyDescent="0.25">
      <c r="A38" s="7" t="s">
        <v>18</v>
      </c>
      <c r="B38" s="14">
        <v>1135841495.0000002</v>
      </c>
      <c r="C38" s="14">
        <v>1590178093</v>
      </c>
    </row>
    <row r="39" spans="1:3" x14ac:dyDescent="0.25">
      <c r="A39" s="7" t="s">
        <v>28</v>
      </c>
      <c r="B39" s="14">
        <v>1314860892.8571427</v>
      </c>
      <c r="C39" s="14">
        <v>1840805250</v>
      </c>
    </row>
    <row r="40" spans="1:3" x14ac:dyDescent="0.25">
      <c r="A40" s="7" t="s">
        <v>32</v>
      </c>
      <c r="B40" s="14">
        <v>1152409370.7142856</v>
      </c>
      <c r="C40" s="14">
        <v>1613373119</v>
      </c>
    </row>
    <row r="41" spans="1:3" x14ac:dyDescent="0.25">
      <c r="A41" s="7" t="s">
        <v>44</v>
      </c>
      <c r="B41" s="14">
        <v>1210519475.7142854</v>
      </c>
      <c r="C41" s="14">
        <v>1694727266</v>
      </c>
    </row>
    <row r="42" spans="1:3" x14ac:dyDescent="0.25">
      <c r="A42" s="7" t="s">
        <v>47</v>
      </c>
      <c r="B42" s="14">
        <v>972351203.57142878</v>
      </c>
      <c r="C42" s="14">
        <v>1361291685</v>
      </c>
    </row>
    <row r="43" spans="1:3" x14ac:dyDescent="0.25">
      <c r="A43" s="7" t="s">
        <v>23</v>
      </c>
      <c r="B43" s="14">
        <v>1070920103.5714287</v>
      </c>
      <c r="C43" s="14">
        <v>1499288145</v>
      </c>
    </row>
    <row r="44" spans="1:3" x14ac:dyDescent="0.25">
      <c r="A44" s="7" t="s">
        <v>50</v>
      </c>
      <c r="B44" s="14">
        <v>1138326939.2857146</v>
      </c>
      <c r="C44" s="14">
        <v>1593657715</v>
      </c>
    </row>
    <row r="45" spans="1:3" x14ac:dyDescent="0.25">
      <c r="A45" s="7" t="s">
        <v>30</v>
      </c>
      <c r="B45" s="14">
        <v>1192184399.2857141</v>
      </c>
      <c r="C45" s="14">
        <v>1669058159</v>
      </c>
    </row>
    <row r="46" spans="1:3" x14ac:dyDescent="0.25">
      <c r="A46" s="7" t="s">
        <v>69</v>
      </c>
      <c r="B46" s="14">
        <v>10472271402.857143</v>
      </c>
      <c r="C46" s="14">
        <v>14661179964</v>
      </c>
    </row>
    <row r="50" spans="1:3" x14ac:dyDescent="0.25">
      <c r="A50" s="6" t="s">
        <v>96</v>
      </c>
      <c r="B50" t="s">
        <v>95</v>
      </c>
      <c r="C50" t="s">
        <v>66</v>
      </c>
    </row>
    <row r="51" spans="1:3" x14ac:dyDescent="0.25">
      <c r="A51" s="7" t="s">
        <v>59</v>
      </c>
      <c r="B51" s="2">
        <v>699203130</v>
      </c>
      <c r="C51" s="2">
        <v>978884382</v>
      </c>
    </row>
    <row r="52" spans="1:3" x14ac:dyDescent="0.25">
      <c r="A52" s="7" t="s">
        <v>36</v>
      </c>
      <c r="B52" s="2">
        <v>291106565.00000006</v>
      </c>
      <c r="C52" s="2">
        <v>407549191</v>
      </c>
    </row>
    <row r="53" spans="1:3" x14ac:dyDescent="0.25">
      <c r="A53" s="7" t="s">
        <v>31</v>
      </c>
      <c r="B53" s="2">
        <v>471789295.71428579</v>
      </c>
      <c r="C53" s="2">
        <v>660505014</v>
      </c>
    </row>
    <row r="54" spans="1:3" x14ac:dyDescent="0.25">
      <c r="A54" s="7" t="s">
        <v>52</v>
      </c>
      <c r="B54" s="2">
        <v>267959842.8571429</v>
      </c>
      <c r="C54" s="2">
        <v>375143780</v>
      </c>
    </row>
    <row r="55" spans="1:3" x14ac:dyDescent="0.25">
      <c r="A55" s="7" t="s">
        <v>38</v>
      </c>
      <c r="B55" s="2">
        <v>1223920633.5714285</v>
      </c>
      <c r="C55" s="2">
        <v>1713488887</v>
      </c>
    </row>
    <row r="56" spans="1:3" x14ac:dyDescent="0.25">
      <c r="A56" s="7" t="s">
        <v>62</v>
      </c>
      <c r="B56" s="2">
        <v>368996503.57142854</v>
      </c>
      <c r="C56" s="2">
        <v>516595105</v>
      </c>
    </row>
    <row r="57" spans="1:3" x14ac:dyDescent="0.25">
      <c r="A57" s="7" t="s">
        <v>48</v>
      </c>
      <c r="B57" s="2">
        <v>500858604.28571433</v>
      </c>
      <c r="C57" s="2">
        <v>701202046</v>
      </c>
    </row>
    <row r="58" spans="1:3" x14ac:dyDescent="0.25">
      <c r="A58" s="7" t="s">
        <v>42</v>
      </c>
      <c r="B58" s="2">
        <v>395142708.57142866</v>
      </c>
      <c r="C58" s="2">
        <v>553199792</v>
      </c>
    </row>
    <row r="59" spans="1:3" x14ac:dyDescent="0.25">
      <c r="A59" s="7" t="s">
        <v>54</v>
      </c>
      <c r="B59" s="2">
        <v>236435230.00000003</v>
      </c>
      <c r="C59" s="2">
        <v>331009322</v>
      </c>
    </row>
    <row r="60" spans="1:3" x14ac:dyDescent="0.25">
      <c r="A60" s="7" t="s">
        <v>34</v>
      </c>
      <c r="B60" s="2">
        <v>1034986076.4285716</v>
      </c>
      <c r="C60" s="2">
        <v>1448980507</v>
      </c>
    </row>
    <row r="61" spans="1:3" x14ac:dyDescent="0.25">
      <c r="A61" s="7" t="s">
        <v>57</v>
      </c>
      <c r="B61" s="2">
        <v>71859248.571428582</v>
      </c>
      <c r="C61" s="2">
        <v>100602948</v>
      </c>
    </row>
    <row r="62" spans="1:3" x14ac:dyDescent="0.25">
      <c r="A62" s="7" t="s">
        <v>55</v>
      </c>
      <c r="B62" s="2">
        <v>671868837.85714304</v>
      </c>
      <c r="C62" s="2">
        <v>940616373</v>
      </c>
    </row>
    <row r="63" spans="1:3" x14ac:dyDescent="0.25">
      <c r="A63" s="7" t="s">
        <v>15</v>
      </c>
      <c r="B63" s="2">
        <v>753630659.28571451</v>
      </c>
      <c r="C63" s="2">
        <v>1055082923</v>
      </c>
    </row>
    <row r="64" spans="1:3" x14ac:dyDescent="0.25">
      <c r="A64" s="7" t="s">
        <v>25</v>
      </c>
      <c r="B64" s="2">
        <v>981637321.42857146</v>
      </c>
      <c r="C64" s="2">
        <v>1374292250</v>
      </c>
    </row>
    <row r="65" spans="1:3" x14ac:dyDescent="0.25">
      <c r="A65" s="7" t="s">
        <v>20</v>
      </c>
      <c r="B65" s="2">
        <v>383017760.71428573</v>
      </c>
      <c r="C65" s="2">
        <v>536224865</v>
      </c>
    </row>
    <row r="66" spans="1:3" x14ac:dyDescent="0.25">
      <c r="A66" s="7" t="s">
        <v>65</v>
      </c>
      <c r="B66" s="2">
        <v>82500913.571428582</v>
      </c>
      <c r="C66" s="2">
        <v>115501279</v>
      </c>
    </row>
    <row r="67" spans="1:3" x14ac:dyDescent="0.25">
      <c r="A67" s="7" t="s">
        <v>60</v>
      </c>
      <c r="B67" s="2">
        <v>596554830</v>
      </c>
      <c r="C67" s="2">
        <v>835176762</v>
      </c>
    </row>
    <row r="68" spans="1:3" x14ac:dyDescent="0.25">
      <c r="A68" s="7" t="s">
        <v>64</v>
      </c>
      <c r="B68" s="2">
        <v>378200260</v>
      </c>
      <c r="C68" s="2">
        <v>529480364</v>
      </c>
    </row>
    <row r="69" spans="1:3" x14ac:dyDescent="0.25">
      <c r="A69" s="7" t="s">
        <v>63</v>
      </c>
      <c r="B69" s="2">
        <v>597001877.85714293</v>
      </c>
      <c r="C69" s="2">
        <v>835802629</v>
      </c>
    </row>
    <row r="70" spans="1:3" x14ac:dyDescent="0.25">
      <c r="A70" s="7" t="s">
        <v>46</v>
      </c>
      <c r="B70" s="2">
        <v>465601103.5714286</v>
      </c>
      <c r="C70" s="2">
        <v>651841545</v>
      </c>
    </row>
    <row r="71" spans="1:3" x14ac:dyDescent="0.25">
      <c r="A71" s="7" t="s">
        <v>69</v>
      </c>
      <c r="B71" s="2">
        <v>10472271402.857145</v>
      </c>
      <c r="C71" s="2">
        <v>14661179964</v>
      </c>
    </row>
  </sheetData>
  <sheetProtection algorithmName="SHA-512" hashValue="wWQygoMTksbPXMx619pDVz9C6/K0ZH1WV4lKe1w6MjrkRbyJmpjqcmsAm9sC/F5P5/HuVh8KZ46IFj+XodiNcA==" saltValue="bbKK1fBu1uNv3/UQWgQh8Q==" spinCount="100000"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53E5E-0463-46E1-98E8-7DCB7A4FE81F}">
  <dimension ref="A6:A1537"/>
  <sheetViews>
    <sheetView topLeftCell="A85" workbookViewId="0">
      <selection activeCell="A6" sqref="A6"/>
    </sheetView>
  </sheetViews>
  <sheetFormatPr defaultRowHeight="15" x14ac:dyDescent="0.25"/>
  <cols>
    <col min="1" max="1" width="18" bestFit="1" customWidth="1"/>
    <col min="2" max="2" width="23" bestFit="1" customWidth="1"/>
    <col min="3" max="404" width="10.42578125" bestFit="1" customWidth="1"/>
    <col min="405" max="405" width="12" bestFit="1" customWidth="1"/>
    <col min="406" max="1461" width="21.42578125" bestFit="1" customWidth="1"/>
    <col min="1462" max="1462" width="11.28515625" bestFit="1" customWidth="1"/>
  </cols>
  <sheetData>
    <row r="6" spans="1:1" x14ac:dyDescent="0.25">
      <c r="A6" s="6" t="s">
        <v>68</v>
      </c>
    </row>
    <row r="7" spans="1:1" x14ac:dyDescent="0.25">
      <c r="A7" s="7" t="s">
        <v>70</v>
      </c>
    </row>
    <row r="8" spans="1:1" x14ac:dyDescent="0.25">
      <c r="A8" s="8" t="s">
        <v>75</v>
      </c>
    </row>
    <row r="9" spans="1:1" x14ac:dyDescent="0.25">
      <c r="A9" s="9" t="s">
        <v>78</v>
      </c>
    </row>
    <row r="10" spans="1:1" x14ac:dyDescent="0.25">
      <c r="A10" s="10">
        <v>43922</v>
      </c>
    </row>
    <row r="11" spans="1:1" x14ac:dyDescent="0.25">
      <c r="A11" s="10">
        <v>43923</v>
      </c>
    </row>
    <row r="12" spans="1:1" x14ac:dyDescent="0.25">
      <c r="A12" s="10">
        <v>43924</v>
      </c>
    </row>
    <row r="13" spans="1:1" x14ac:dyDescent="0.25">
      <c r="A13" s="10">
        <v>43925</v>
      </c>
    </row>
    <row r="14" spans="1:1" x14ac:dyDescent="0.25">
      <c r="A14" s="10">
        <v>43926</v>
      </c>
    </row>
    <row r="15" spans="1:1" x14ac:dyDescent="0.25">
      <c r="A15" s="10">
        <v>43927</v>
      </c>
    </row>
    <row r="16" spans="1:1" x14ac:dyDescent="0.25">
      <c r="A16" s="10">
        <v>43928</v>
      </c>
    </row>
    <row r="17" spans="1:1" x14ac:dyDescent="0.25">
      <c r="A17" s="10">
        <v>43929</v>
      </c>
    </row>
    <row r="18" spans="1:1" x14ac:dyDescent="0.25">
      <c r="A18" s="10">
        <v>43930</v>
      </c>
    </row>
    <row r="19" spans="1:1" x14ac:dyDescent="0.25">
      <c r="A19" s="10">
        <v>43931</v>
      </c>
    </row>
    <row r="20" spans="1:1" x14ac:dyDescent="0.25">
      <c r="A20" s="10">
        <v>43932</v>
      </c>
    </row>
    <row r="21" spans="1:1" x14ac:dyDescent="0.25">
      <c r="A21" s="10">
        <v>43933</v>
      </c>
    </row>
    <row r="22" spans="1:1" x14ac:dyDescent="0.25">
      <c r="A22" s="10">
        <v>43934</v>
      </c>
    </row>
    <row r="23" spans="1:1" x14ac:dyDescent="0.25">
      <c r="A23" s="10">
        <v>43935</v>
      </c>
    </row>
    <row r="24" spans="1:1" x14ac:dyDescent="0.25">
      <c r="A24" s="10">
        <v>43936</v>
      </c>
    </row>
    <row r="25" spans="1:1" x14ac:dyDescent="0.25">
      <c r="A25" s="10">
        <v>43937</v>
      </c>
    </row>
    <row r="26" spans="1:1" x14ac:dyDescent="0.25">
      <c r="A26" s="10">
        <v>43938</v>
      </c>
    </row>
    <row r="27" spans="1:1" x14ac:dyDescent="0.25">
      <c r="A27" s="10">
        <v>43939</v>
      </c>
    </row>
    <row r="28" spans="1:1" x14ac:dyDescent="0.25">
      <c r="A28" s="10">
        <v>43940</v>
      </c>
    </row>
    <row r="29" spans="1:1" x14ac:dyDescent="0.25">
      <c r="A29" s="10">
        <v>43941</v>
      </c>
    </row>
    <row r="30" spans="1:1" x14ac:dyDescent="0.25">
      <c r="A30" s="10">
        <v>43942</v>
      </c>
    </row>
    <row r="31" spans="1:1" x14ac:dyDescent="0.25">
      <c r="A31" s="10">
        <v>43943</v>
      </c>
    </row>
    <row r="32" spans="1:1" x14ac:dyDescent="0.25">
      <c r="A32" s="10">
        <v>43944</v>
      </c>
    </row>
    <row r="33" spans="1:1" x14ac:dyDescent="0.25">
      <c r="A33" s="10">
        <v>43945</v>
      </c>
    </row>
    <row r="34" spans="1:1" x14ac:dyDescent="0.25">
      <c r="A34" s="10">
        <v>43946</v>
      </c>
    </row>
    <row r="35" spans="1:1" x14ac:dyDescent="0.25">
      <c r="A35" s="10">
        <v>43947</v>
      </c>
    </row>
    <row r="36" spans="1:1" x14ac:dyDescent="0.25">
      <c r="A36" s="10">
        <v>43948</v>
      </c>
    </row>
    <row r="37" spans="1:1" x14ac:dyDescent="0.25">
      <c r="A37" s="10">
        <v>43949</v>
      </c>
    </row>
    <row r="38" spans="1:1" x14ac:dyDescent="0.25">
      <c r="A38" s="10">
        <v>43950</v>
      </c>
    </row>
    <row r="39" spans="1:1" x14ac:dyDescent="0.25">
      <c r="A39" s="10">
        <v>43951</v>
      </c>
    </row>
    <row r="40" spans="1:1" x14ac:dyDescent="0.25">
      <c r="A40" s="9" t="s">
        <v>53</v>
      </c>
    </row>
    <row r="41" spans="1:1" x14ac:dyDescent="0.25">
      <c r="A41" s="10">
        <v>43952</v>
      </c>
    </row>
    <row r="42" spans="1:1" x14ac:dyDescent="0.25">
      <c r="A42" s="10">
        <v>43953</v>
      </c>
    </row>
    <row r="43" spans="1:1" x14ac:dyDescent="0.25">
      <c r="A43" s="10">
        <v>43954</v>
      </c>
    </row>
    <row r="44" spans="1:1" x14ac:dyDescent="0.25">
      <c r="A44" s="10">
        <v>43955</v>
      </c>
    </row>
    <row r="45" spans="1:1" x14ac:dyDescent="0.25">
      <c r="A45" s="10">
        <v>43956</v>
      </c>
    </row>
    <row r="46" spans="1:1" x14ac:dyDescent="0.25">
      <c r="A46" s="10">
        <v>43957</v>
      </c>
    </row>
    <row r="47" spans="1:1" x14ac:dyDescent="0.25">
      <c r="A47" s="10">
        <v>43958</v>
      </c>
    </row>
    <row r="48" spans="1:1" x14ac:dyDescent="0.25">
      <c r="A48" s="10">
        <v>43959</v>
      </c>
    </row>
    <row r="49" spans="1:1" x14ac:dyDescent="0.25">
      <c r="A49" s="10">
        <v>43960</v>
      </c>
    </row>
    <row r="50" spans="1:1" x14ac:dyDescent="0.25">
      <c r="A50" s="10">
        <v>43961</v>
      </c>
    </row>
    <row r="51" spans="1:1" x14ac:dyDescent="0.25">
      <c r="A51" s="10">
        <v>43962</v>
      </c>
    </row>
    <row r="52" spans="1:1" x14ac:dyDescent="0.25">
      <c r="A52" s="10">
        <v>43963</v>
      </c>
    </row>
    <row r="53" spans="1:1" x14ac:dyDescent="0.25">
      <c r="A53" s="10">
        <v>43964</v>
      </c>
    </row>
    <row r="54" spans="1:1" x14ac:dyDescent="0.25">
      <c r="A54" s="10">
        <v>43965</v>
      </c>
    </row>
    <row r="55" spans="1:1" x14ac:dyDescent="0.25">
      <c r="A55" s="10">
        <v>43966</v>
      </c>
    </row>
    <row r="56" spans="1:1" x14ac:dyDescent="0.25">
      <c r="A56" s="10">
        <v>43967</v>
      </c>
    </row>
    <row r="57" spans="1:1" x14ac:dyDescent="0.25">
      <c r="A57" s="10">
        <v>43968</v>
      </c>
    </row>
    <row r="58" spans="1:1" x14ac:dyDescent="0.25">
      <c r="A58" s="10">
        <v>43969</v>
      </c>
    </row>
    <row r="59" spans="1:1" x14ac:dyDescent="0.25">
      <c r="A59" s="10">
        <v>43970</v>
      </c>
    </row>
    <row r="60" spans="1:1" x14ac:dyDescent="0.25">
      <c r="A60" s="10">
        <v>43971</v>
      </c>
    </row>
    <row r="61" spans="1:1" x14ac:dyDescent="0.25">
      <c r="A61" s="10">
        <v>43972</v>
      </c>
    </row>
    <row r="62" spans="1:1" x14ac:dyDescent="0.25">
      <c r="A62" s="10">
        <v>43973</v>
      </c>
    </row>
    <row r="63" spans="1:1" x14ac:dyDescent="0.25">
      <c r="A63" s="10">
        <v>43974</v>
      </c>
    </row>
    <row r="64" spans="1:1" x14ac:dyDescent="0.25">
      <c r="A64" s="10">
        <v>43975</v>
      </c>
    </row>
    <row r="65" spans="1:1" x14ac:dyDescent="0.25">
      <c r="A65" s="10">
        <v>43976</v>
      </c>
    </row>
    <row r="66" spans="1:1" x14ac:dyDescent="0.25">
      <c r="A66" s="10">
        <v>43977</v>
      </c>
    </row>
    <row r="67" spans="1:1" x14ac:dyDescent="0.25">
      <c r="A67" s="10">
        <v>43978</v>
      </c>
    </row>
    <row r="68" spans="1:1" x14ac:dyDescent="0.25">
      <c r="A68" s="10">
        <v>43979</v>
      </c>
    </row>
    <row r="69" spans="1:1" x14ac:dyDescent="0.25">
      <c r="A69" s="10">
        <v>43980</v>
      </c>
    </row>
    <row r="70" spans="1:1" x14ac:dyDescent="0.25">
      <c r="A70" s="10">
        <v>43981</v>
      </c>
    </row>
    <row r="71" spans="1:1" x14ac:dyDescent="0.25">
      <c r="A71" s="10">
        <v>43982</v>
      </c>
    </row>
    <row r="72" spans="1:1" x14ac:dyDescent="0.25">
      <c r="A72" s="9" t="s">
        <v>79</v>
      </c>
    </row>
    <row r="73" spans="1:1" x14ac:dyDescent="0.25">
      <c r="A73" s="10">
        <v>43983</v>
      </c>
    </row>
    <row r="74" spans="1:1" x14ac:dyDescent="0.25">
      <c r="A74" s="10">
        <v>43984</v>
      </c>
    </row>
    <row r="75" spans="1:1" x14ac:dyDescent="0.25">
      <c r="A75" s="10">
        <v>43985</v>
      </c>
    </row>
    <row r="76" spans="1:1" x14ac:dyDescent="0.25">
      <c r="A76" s="10">
        <v>43986</v>
      </c>
    </row>
    <row r="77" spans="1:1" x14ac:dyDescent="0.25">
      <c r="A77" s="10">
        <v>43987</v>
      </c>
    </row>
    <row r="78" spans="1:1" x14ac:dyDescent="0.25">
      <c r="A78" s="10">
        <v>43988</v>
      </c>
    </row>
    <row r="79" spans="1:1" x14ac:dyDescent="0.25">
      <c r="A79" s="10">
        <v>43989</v>
      </c>
    </row>
    <row r="80" spans="1:1" x14ac:dyDescent="0.25">
      <c r="A80" s="10">
        <v>43990</v>
      </c>
    </row>
    <row r="81" spans="1:1" x14ac:dyDescent="0.25">
      <c r="A81" s="10">
        <v>43991</v>
      </c>
    </row>
    <row r="82" spans="1:1" x14ac:dyDescent="0.25">
      <c r="A82" s="10">
        <v>43992</v>
      </c>
    </row>
    <row r="83" spans="1:1" x14ac:dyDescent="0.25">
      <c r="A83" s="10">
        <v>43993</v>
      </c>
    </row>
    <row r="84" spans="1:1" x14ac:dyDescent="0.25">
      <c r="A84" s="10">
        <v>43994</v>
      </c>
    </row>
    <row r="85" spans="1:1" x14ac:dyDescent="0.25">
      <c r="A85" s="10">
        <v>43995</v>
      </c>
    </row>
    <row r="86" spans="1:1" x14ac:dyDescent="0.25">
      <c r="A86" s="10">
        <v>43996</v>
      </c>
    </row>
    <row r="87" spans="1:1" x14ac:dyDescent="0.25">
      <c r="A87" s="10">
        <v>43997</v>
      </c>
    </row>
    <row r="88" spans="1:1" x14ac:dyDescent="0.25">
      <c r="A88" s="10">
        <v>43998</v>
      </c>
    </row>
    <row r="89" spans="1:1" x14ac:dyDescent="0.25">
      <c r="A89" s="10">
        <v>43999</v>
      </c>
    </row>
    <row r="90" spans="1:1" x14ac:dyDescent="0.25">
      <c r="A90" s="10">
        <v>44000</v>
      </c>
    </row>
    <row r="91" spans="1:1" x14ac:dyDescent="0.25">
      <c r="A91" s="10">
        <v>44001</v>
      </c>
    </row>
    <row r="92" spans="1:1" x14ac:dyDescent="0.25">
      <c r="A92" s="10">
        <v>44002</v>
      </c>
    </row>
    <row r="93" spans="1:1" x14ac:dyDescent="0.25">
      <c r="A93" s="10">
        <v>44003</v>
      </c>
    </row>
    <row r="94" spans="1:1" x14ac:dyDescent="0.25">
      <c r="A94" s="10">
        <v>44004</v>
      </c>
    </row>
    <row r="95" spans="1:1" x14ac:dyDescent="0.25">
      <c r="A95" s="10">
        <v>44005</v>
      </c>
    </row>
    <row r="96" spans="1:1" x14ac:dyDescent="0.25">
      <c r="A96" s="10">
        <v>44006</v>
      </c>
    </row>
    <row r="97" spans="1:1" x14ac:dyDescent="0.25">
      <c r="A97" s="10">
        <v>44007</v>
      </c>
    </row>
    <row r="98" spans="1:1" x14ac:dyDescent="0.25">
      <c r="A98" s="10">
        <v>44008</v>
      </c>
    </row>
    <row r="99" spans="1:1" x14ac:dyDescent="0.25">
      <c r="A99" s="10">
        <v>44009</v>
      </c>
    </row>
    <row r="100" spans="1:1" x14ac:dyDescent="0.25">
      <c r="A100" s="10">
        <v>44010</v>
      </c>
    </row>
    <row r="101" spans="1:1" x14ac:dyDescent="0.25">
      <c r="A101" s="10">
        <v>44011</v>
      </c>
    </row>
    <row r="102" spans="1:1" x14ac:dyDescent="0.25">
      <c r="A102" s="10">
        <v>44012</v>
      </c>
    </row>
    <row r="103" spans="1:1" x14ac:dyDescent="0.25">
      <c r="A103" s="8" t="s">
        <v>76</v>
      </c>
    </row>
    <row r="104" spans="1:1" x14ac:dyDescent="0.25">
      <c r="A104" s="9" t="s">
        <v>80</v>
      </c>
    </row>
    <row r="105" spans="1:1" x14ac:dyDescent="0.25">
      <c r="A105" s="10">
        <v>44013</v>
      </c>
    </row>
    <row r="106" spans="1:1" x14ac:dyDescent="0.25">
      <c r="A106" s="10">
        <v>44014</v>
      </c>
    </row>
    <row r="107" spans="1:1" x14ac:dyDescent="0.25">
      <c r="A107" s="10">
        <v>44015</v>
      </c>
    </row>
    <row r="108" spans="1:1" x14ac:dyDescent="0.25">
      <c r="A108" s="10">
        <v>44016</v>
      </c>
    </row>
    <row r="109" spans="1:1" x14ac:dyDescent="0.25">
      <c r="A109" s="10">
        <v>44017</v>
      </c>
    </row>
    <row r="110" spans="1:1" x14ac:dyDescent="0.25">
      <c r="A110" s="10">
        <v>44018</v>
      </c>
    </row>
    <row r="111" spans="1:1" x14ac:dyDescent="0.25">
      <c r="A111" s="10">
        <v>44019</v>
      </c>
    </row>
    <row r="112" spans="1:1" x14ac:dyDescent="0.25">
      <c r="A112" s="10">
        <v>44020</v>
      </c>
    </row>
    <row r="113" spans="1:1" x14ac:dyDescent="0.25">
      <c r="A113" s="10">
        <v>44021</v>
      </c>
    </row>
    <row r="114" spans="1:1" x14ac:dyDescent="0.25">
      <c r="A114" s="10">
        <v>44022</v>
      </c>
    </row>
    <row r="115" spans="1:1" x14ac:dyDescent="0.25">
      <c r="A115" s="10">
        <v>44023</v>
      </c>
    </row>
    <row r="116" spans="1:1" x14ac:dyDescent="0.25">
      <c r="A116" s="10">
        <v>44024</v>
      </c>
    </row>
    <row r="117" spans="1:1" x14ac:dyDescent="0.25">
      <c r="A117" s="10">
        <v>44025</v>
      </c>
    </row>
    <row r="118" spans="1:1" x14ac:dyDescent="0.25">
      <c r="A118" s="10">
        <v>44026</v>
      </c>
    </row>
    <row r="119" spans="1:1" x14ac:dyDescent="0.25">
      <c r="A119" s="10">
        <v>44027</v>
      </c>
    </row>
    <row r="120" spans="1:1" x14ac:dyDescent="0.25">
      <c r="A120" s="10">
        <v>44028</v>
      </c>
    </row>
    <row r="121" spans="1:1" x14ac:dyDescent="0.25">
      <c r="A121" s="10">
        <v>44029</v>
      </c>
    </row>
    <row r="122" spans="1:1" x14ac:dyDescent="0.25">
      <c r="A122" s="10">
        <v>44030</v>
      </c>
    </row>
    <row r="123" spans="1:1" x14ac:dyDescent="0.25">
      <c r="A123" s="10">
        <v>44031</v>
      </c>
    </row>
    <row r="124" spans="1:1" x14ac:dyDescent="0.25">
      <c r="A124" s="10">
        <v>44032</v>
      </c>
    </row>
    <row r="125" spans="1:1" x14ac:dyDescent="0.25">
      <c r="A125" s="10">
        <v>44033</v>
      </c>
    </row>
    <row r="126" spans="1:1" x14ac:dyDescent="0.25">
      <c r="A126" s="10">
        <v>44034</v>
      </c>
    </row>
    <row r="127" spans="1:1" x14ac:dyDescent="0.25">
      <c r="A127" s="10">
        <v>44035</v>
      </c>
    </row>
    <row r="128" spans="1:1" x14ac:dyDescent="0.25">
      <c r="A128" s="10">
        <v>44036</v>
      </c>
    </row>
    <row r="129" spans="1:1" x14ac:dyDescent="0.25">
      <c r="A129" s="10">
        <v>44037</v>
      </c>
    </row>
    <row r="130" spans="1:1" x14ac:dyDescent="0.25">
      <c r="A130" s="10">
        <v>44038</v>
      </c>
    </row>
    <row r="131" spans="1:1" x14ac:dyDescent="0.25">
      <c r="A131" s="10">
        <v>44039</v>
      </c>
    </row>
    <row r="132" spans="1:1" x14ac:dyDescent="0.25">
      <c r="A132" s="10">
        <v>44040</v>
      </c>
    </row>
    <row r="133" spans="1:1" x14ac:dyDescent="0.25">
      <c r="A133" s="10">
        <v>44041</v>
      </c>
    </row>
    <row r="134" spans="1:1" x14ac:dyDescent="0.25">
      <c r="A134" s="10">
        <v>44042</v>
      </c>
    </row>
    <row r="135" spans="1:1" x14ac:dyDescent="0.25">
      <c r="A135" s="10">
        <v>44043</v>
      </c>
    </row>
    <row r="136" spans="1:1" x14ac:dyDescent="0.25">
      <c r="A136" s="9" t="s">
        <v>81</v>
      </c>
    </row>
    <row r="137" spans="1:1" x14ac:dyDescent="0.25">
      <c r="A137" s="10">
        <v>44044</v>
      </c>
    </row>
    <row r="138" spans="1:1" x14ac:dyDescent="0.25">
      <c r="A138" s="10">
        <v>44045</v>
      </c>
    </row>
    <row r="139" spans="1:1" x14ac:dyDescent="0.25">
      <c r="A139" s="10">
        <v>44046</v>
      </c>
    </row>
    <row r="140" spans="1:1" x14ac:dyDescent="0.25">
      <c r="A140" s="10">
        <v>44047</v>
      </c>
    </row>
    <row r="141" spans="1:1" x14ac:dyDescent="0.25">
      <c r="A141" s="10">
        <v>44048</v>
      </c>
    </row>
    <row r="142" spans="1:1" x14ac:dyDescent="0.25">
      <c r="A142" s="10">
        <v>44049</v>
      </c>
    </row>
    <row r="143" spans="1:1" x14ac:dyDescent="0.25">
      <c r="A143" s="10">
        <v>44050</v>
      </c>
    </row>
    <row r="144" spans="1:1" x14ac:dyDescent="0.25">
      <c r="A144" s="10">
        <v>44051</v>
      </c>
    </row>
    <row r="145" spans="1:1" x14ac:dyDescent="0.25">
      <c r="A145" s="10">
        <v>44052</v>
      </c>
    </row>
    <row r="146" spans="1:1" x14ac:dyDescent="0.25">
      <c r="A146" s="10">
        <v>44053</v>
      </c>
    </row>
    <row r="147" spans="1:1" x14ac:dyDescent="0.25">
      <c r="A147" s="10">
        <v>44054</v>
      </c>
    </row>
    <row r="148" spans="1:1" x14ac:dyDescent="0.25">
      <c r="A148" s="10">
        <v>44055</v>
      </c>
    </row>
    <row r="149" spans="1:1" x14ac:dyDescent="0.25">
      <c r="A149" s="10">
        <v>44056</v>
      </c>
    </row>
    <row r="150" spans="1:1" x14ac:dyDescent="0.25">
      <c r="A150" s="10">
        <v>44057</v>
      </c>
    </row>
    <row r="151" spans="1:1" x14ac:dyDescent="0.25">
      <c r="A151" s="10">
        <v>44058</v>
      </c>
    </row>
    <row r="152" spans="1:1" x14ac:dyDescent="0.25">
      <c r="A152" s="10">
        <v>44059</v>
      </c>
    </row>
    <row r="153" spans="1:1" x14ac:dyDescent="0.25">
      <c r="A153" s="10">
        <v>44060</v>
      </c>
    </row>
    <row r="154" spans="1:1" x14ac:dyDescent="0.25">
      <c r="A154" s="10">
        <v>44061</v>
      </c>
    </row>
    <row r="155" spans="1:1" x14ac:dyDescent="0.25">
      <c r="A155" s="10">
        <v>44062</v>
      </c>
    </row>
    <row r="156" spans="1:1" x14ac:dyDescent="0.25">
      <c r="A156" s="10">
        <v>44063</v>
      </c>
    </row>
    <row r="157" spans="1:1" x14ac:dyDescent="0.25">
      <c r="A157" s="10">
        <v>44064</v>
      </c>
    </row>
    <row r="158" spans="1:1" x14ac:dyDescent="0.25">
      <c r="A158" s="10">
        <v>44065</v>
      </c>
    </row>
    <row r="159" spans="1:1" x14ac:dyDescent="0.25">
      <c r="A159" s="10">
        <v>44066</v>
      </c>
    </row>
    <row r="160" spans="1:1" x14ac:dyDescent="0.25">
      <c r="A160" s="10">
        <v>44067</v>
      </c>
    </row>
    <row r="161" spans="1:1" x14ac:dyDescent="0.25">
      <c r="A161" s="10">
        <v>44068</v>
      </c>
    </row>
    <row r="162" spans="1:1" x14ac:dyDescent="0.25">
      <c r="A162" s="10">
        <v>44069</v>
      </c>
    </row>
    <row r="163" spans="1:1" x14ac:dyDescent="0.25">
      <c r="A163" s="10">
        <v>44070</v>
      </c>
    </row>
    <row r="164" spans="1:1" x14ac:dyDescent="0.25">
      <c r="A164" s="10">
        <v>44071</v>
      </c>
    </row>
    <row r="165" spans="1:1" x14ac:dyDescent="0.25">
      <c r="A165" s="10">
        <v>44072</v>
      </c>
    </row>
    <row r="166" spans="1:1" x14ac:dyDescent="0.25">
      <c r="A166" s="10">
        <v>44073</v>
      </c>
    </row>
    <row r="167" spans="1:1" x14ac:dyDescent="0.25">
      <c r="A167" s="10">
        <v>44074</v>
      </c>
    </row>
    <row r="168" spans="1:1" x14ac:dyDescent="0.25">
      <c r="A168" s="9" t="s">
        <v>82</v>
      </c>
    </row>
    <row r="169" spans="1:1" x14ac:dyDescent="0.25">
      <c r="A169" s="10">
        <v>44075</v>
      </c>
    </row>
    <row r="170" spans="1:1" x14ac:dyDescent="0.25">
      <c r="A170" s="10">
        <v>44076</v>
      </c>
    </row>
    <row r="171" spans="1:1" x14ac:dyDescent="0.25">
      <c r="A171" s="10">
        <v>44077</v>
      </c>
    </row>
    <row r="172" spans="1:1" x14ac:dyDescent="0.25">
      <c r="A172" s="10">
        <v>44078</v>
      </c>
    </row>
    <row r="173" spans="1:1" x14ac:dyDescent="0.25">
      <c r="A173" s="10">
        <v>44079</v>
      </c>
    </row>
    <row r="174" spans="1:1" x14ac:dyDescent="0.25">
      <c r="A174" s="10">
        <v>44080</v>
      </c>
    </row>
    <row r="175" spans="1:1" x14ac:dyDescent="0.25">
      <c r="A175" s="10">
        <v>44081</v>
      </c>
    </row>
    <row r="176" spans="1:1" x14ac:dyDescent="0.25">
      <c r="A176" s="10">
        <v>44082</v>
      </c>
    </row>
    <row r="177" spans="1:1" x14ac:dyDescent="0.25">
      <c r="A177" s="10">
        <v>44083</v>
      </c>
    </row>
    <row r="178" spans="1:1" x14ac:dyDescent="0.25">
      <c r="A178" s="10">
        <v>44084</v>
      </c>
    </row>
    <row r="179" spans="1:1" x14ac:dyDescent="0.25">
      <c r="A179" s="10">
        <v>44085</v>
      </c>
    </row>
    <row r="180" spans="1:1" x14ac:dyDescent="0.25">
      <c r="A180" s="10">
        <v>44086</v>
      </c>
    </row>
    <row r="181" spans="1:1" x14ac:dyDescent="0.25">
      <c r="A181" s="10">
        <v>44087</v>
      </c>
    </row>
    <row r="182" spans="1:1" x14ac:dyDescent="0.25">
      <c r="A182" s="10">
        <v>44088</v>
      </c>
    </row>
    <row r="183" spans="1:1" x14ac:dyDescent="0.25">
      <c r="A183" s="10">
        <v>44089</v>
      </c>
    </row>
    <row r="184" spans="1:1" x14ac:dyDescent="0.25">
      <c r="A184" s="10">
        <v>44090</v>
      </c>
    </row>
    <row r="185" spans="1:1" x14ac:dyDescent="0.25">
      <c r="A185" s="10">
        <v>44091</v>
      </c>
    </row>
    <row r="186" spans="1:1" x14ac:dyDescent="0.25">
      <c r="A186" s="10">
        <v>44092</v>
      </c>
    </row>
    <row r="187" spans="1:1" x14ac:dyDescent="0.25">
      <c r="A187" s="10">
        <v>44093</v>
      </c>
    </row>
    <row r="188" spans="1:1" x14ac:dyDescent="0.25">
      <c r="A188" s="10">
        <v>44094</v>
      </c>
    </row>
    <row r="189" spans="1:1" x14ac:dyDescent="0.25">
      <c r="A189" s="10">
        <v>44095</v>
      </c>
    </row>
    <row r="190" spans="1:1" x14ac:dyDescent="0.25">
      <c r="A190" s="10">
        <v>44096</v>
      </c>
    </row>
    <row r="191" spans="1:1" x14ac:dyDescent="0.25">
      <c r="A191" s="10">
        <v>44097</v>
      </c>
    </row>
    <row r="192" spans="1:1" x14ac:dyDescent="0.25">
      <c r="A192" s="10">
        <v>44098</v>
      </c>
    </row>
    <row r="193" spans="1:1" x14ac:dyDescent="0.25">
      <c r="A193" s="10">
        <v>44099</v>
      </c>
    </row>
    <row r="194" spans="1:1" x14ac:dyDescent="0.25">
      <c r="A194" s="10">
        <v>44100</v>
      </c>
    </row>
    <row r="195" spans="1:1" x14ac:dyDescent="0.25">
      <c r="A195" s="10">
        <v>44101</v>
      </c>
    </row>
    <row r="196" spans="1:1" x14ac:dyDescent="0.25">
      <c r="A196" s="10">
        <v>44102</v>
      </c>
    </row>
    <row r="197" spans="1:1" x14ac:dyDescent="0.25">
      <c r="A197" s="10">
        <v>44103</v>
      </c>
    </row>
    <row r="198" spans="1:1" x14ac:dyDescent="0.25">
      <c r="A198" s="10">
        <v>44104</v>
      </c>
    </row>
    <row r="199" spans="1:1" x14ac:dyDescent="0.25">
      <c r="A199" s="8" t="s">
        <v>77</v>
      </c>
    </row>
    <row r="200" spans="1:1" x14ac:dyDescent="0.25">
      <c r="A200" s="9" t="s">
        <v>83</v>
      </c>
    </row>
    <row r="201" spans="1:1" x14ac:dyDescent="0.25">
      <c r="A201" s="10">
        <v>44105</v>
      </c>
    </row>
    <row r="202" spans="1:1" x14ac:dyDescent="0.25">
      <c r="A202" s="10">
        <v>44106</v>
      </c>
    </row>
    <row r="203" spans="1:1" x14ac:dyDescent="0.25">
      <c r="A203" s="10">
        <v>44107</v>
      </c>
    </row>
    <row r="204" spans="1:1" x14ac:dyDescent="0.25">
      <c r="A204" s="10">
        <v>44108</v>
      </c>
    </row>
    <row r="205" spans="1:1" x14ac:dyDescent="0.25">
      <c r="A205" s="10">
        <v>44109</v>
      </c>
    </row>
    <row r="206" spans="1:1" x14ac:dyDescent="0.25">
      <c r="A206" s="10">
        <v>44110</v>
      </c>
    </row>
    <row r="207" spans="1:1" x14ac:dyDescent="0.25">
      <c r="A207" s="10">
        <v>44111</v>
      </c>
    </row>
    <row r="208" spans="1:1" x14ac:dyDescent="0.25">
      <c r="A208" s="10">
        <v>44112</v>
      </c>
    </row>
    <row r="209" spans="1:1" x14ac:dyDescent="0.25">
      <c r="A209" s="10">
        <v>44113</v>
      </c>
    </row>
    <row r="210" spans="1:1" x14ac:dyDescent="0.25">
      <c r="A210" s="10">
        <v>44114</v>
      </c>
    </row>
    <row r="211" spans="1:1" x14ac:dyDescent="0.25">
      <c r="A211" s="10">
        <v>44115</v>
      </c>
    </row>
    <row r="212" spans="1:1" x14ac:dyDescent="0.25">
      <c r="A212" s="10">
        <v>44116</v>
      </c>
    </row>
    <row r="213" spans="1:1" x14ac:dyDescent="0.25">
      <c r="A213" s="10">
        <v>44117</v>
      </c>
    </row>
    <row r="214" spans="1:1" x14ac:dyDescent="0.25">
      <c r="A214" s="10">
        <v>44118</v>
      </c>
    </row>
    <row r="215" spans="1:1" x14ac:dyDescent="0.25">
      <c r="A215" s="10">
        <v>44119</v>
      </c>
    </row>
    <row r="216" spans="1:1" x14ac:dyDescent="0.25">
      <c r="A216" s="10">
        <v>44120</v>
      </c>
    </row>
    <row r="217" spans="1:1" x14ac:dyDescent="0.25">
      <c r="A217" s="10">
        <v>44121</v>
      </c>
    </row>
    <row r="218" spans="1:1" x14ac:dyDescent="0.25">
      <c r="A218" s="10">
        <v>44122</v>
      </c>
    </row>
    <row r="219" spans="1:1" x14ac:dyDescent="0.25">
      <c r="A219" s="10">
        <v>44123</v>
      </c>
    </row>
    <row r="220" spans="1:1" x14ac:dyDescent="0.25">
      <c r="A220" s="10">
        <v>44124</v>
      </c>
    </row>
    <row r="221" spans="1:1" x14ac:dyDescent="0.25">
      <c r="A221" s="10">
        <v>44125</v>
      </c>
    </row>
    <row r="222" spans="1:1" x14ac:dyDescent="0.25">
      <c r="A222" s="10">
        <v>44126</v>
      </c>
    </row>
    <row r="223" spans="1:1" x14ac:dyDescent="0.25">
      <c r="A223" s="10">
        <v>44127</v>
      </c>
    </row>
    <row r="224" spans="1:1" x14ac:dyDescent="0.25">
      <c r="A224" s="10">
        <v>44128</v>
      </c>
    </row>
    <row r="225" spans="1:1" x14ac:dyDescent="0.25">
      <c r="A225" s="10">
        <v>44129</v>
      </c>
    </row>
    <row r="226" spans="1:1" x14ac:dyDescent="0.25">
      <c r="A226" s="10">
        <v>44130</v>
      </c>
    </row>
    <row r="227" spans="1:1" x14ac:dyDescent="0.25">
      <c r="A227" s="10">
        <v>44131</v>
      </c>
    </row>
    <row r="228" spans="1:1" x14ac:dyDescent="0.25">
      <c r="A228" s="10">
        <v>44132</v>
      </c>
    </row>
    <row r="229" spans="1:1" x14ac:dyDescent="0.25">
      <c r="A229" s="10">
        <v>44133</v>
      </c>
    </row>
    <row r="230" spans="1:1" x14ac:dyDescent="0.25">
      <c r="A230" s="10">
        <v>44134</v>
      </c>
    </row>
    <row r="231" spans="1:1" x14ac:dyDescent="0.25">
      <c r="A231" s="10">
        <v>44135</v>
      </c>
    </row>
    <row r="232" spans="1:1" x14ac:dyDescent="0.25">
      <c r="A232" s="9" t="s">
        <v>84</v>
      </c>
    </row>
    <row r="233" spans="1:1" x14ac:dyDescent="0.25">
      <c r="A233" s="10">
        <v>44136</v>
      </c>
    </row>
    <row r="234" spans="1:1" x14ac:dyDescent="0.25">
      <c r="A234" s="10">
        <v>44137</v>
      </c>
    </row>
    <row r="235" spans="1:1" x14ac:dyDescent="0.25">
      <c r="A235" s="10">
        <v>44138</v>
      </c>
    </row>
    <row r="236" spans="1:1" x14ac:dyDescent="0.25">
      <c r="A236" s="10">
        <v>44139</v>
      </c>
    </row>
    <row r="237" spans="1:1" x14ac:dyDescent="0.25">
      <c r="A237" s="10">
        <v>44140</v>
      </c>
    </row>
    <row r="238" spans="1:1" x14ac:dyDescent="0.25">
      <c r="A238" s="10">
        <v>44141</v>
      </c>
    </row>
    <row r="239" spans="1:1" x14ac:dyDescent="0.25">
      <c r="A239" s="10">
        <v>44142</v>
      </c>
    </row>
    <row r="240" spans="1:1" x14ac:dyDescent="0.25">
      <c r="A240" s="10">
        <v>44143</v>
      </c>
    </row>
    <row r="241" spans="1:1" x14ac:dyDescent="0.25">
      <c r="A241" s="10">
        <v>44144</v>
      </c>
    </row>
    <row r="242" spans="1:1" x14ac:dyDescent="0.25">
      <c r="A242" s="10">
        <v>44145</v>
      </c>
    </row>
    <row r="243" spans="1:1" x14ac:dyDescent="0.25">
      <c r="A243" s="10">
        <v>44146</v>
      </c>
    </row>
    <row r="244" spans="1:1" x14ac:dyDescent="0.25">
      <c r="A244" s="10">
        <v>44147</v>
      </c>
    </row>
    <row r="245" spans="1:1" x14ac:dyDescent="0.25">
      <c r="A245" s="10">
        <v>44148</v>
      </c>
    </row>
    <row r="246" spans="1:1" x14ac:dyDescent="0.25">
      <c r="A246" s="10">
        <v>44149</v>
      </c>
    </row>
    <row r="247" spans="1:1" x14ac:dyDescent="0.25">
      <c r="A247" s="10">
        <v>44150</v>
      </c>
    </row>
    <row r="248" spans="1:1" x14ac:dyDescent="0.25">
      <c r="A248" s="10">
        <v>44151</v>
      </c>
    </row>
    <row r="249" spans="1:1" x14ac:dyDescent="0.25">
      <c r="A249" s="10">
        <v>44152</v>
      </c>
    </row>
    <row r="250" spans="1:1" x14ac:dyDescent="0.25">
      <c r="A250" s="10">
        <v>44153</v>
      </c>
    </row>
    <row r="251" spans="1:1" x14ac:dyDescent="0.25">
      <c r="A251" s="10">
        <v>44154</v>
      </c>
    </row>
    <row r="252" spans="1:1" x14ac:dyDescent="0.25">
      <c r="A252" s="10">
        <v>44155</v>
      </c>
    </row>
    <row r="253" spans="1:1" x14ac:dyDescent="0.25">
      <c r="A253" s="10">
        <v>44156</v>
      </c>
    </row>
    <row r="254" spans="1:1" x14ac:dyDescent="0.25">
      <c r="A254" s="10">
        <v>44157</v>
      </c>
    </row>
    <row r="255" spans="1:1" x14ac:dyDescent="0.25">
      <c r="A255" s="10">
        <v>44158</v>
      </c>
    </row>
    <row r="256" spans="1:1" x14ac:dyDescent="0.25">
      <c r="A256" s="10">
        <v>44159</v>
      </c>
    </row>
    <row r="257" spans="1:1" x14ac:dyDescent="0.25">
      <c r="A257" s="10">
        <v>44160</v>
      </c>
    </row>
    <row r="258" spans="1:1" x14ac:dyDescent="0.25">
      <c r="A258" s="10">
        <v>44161</v>
      </c>
    </row>
    <row r="259" spans="1:1" x14ac:dyDescent="0.25">
      <c r="A259" s="10">
        <v>44162</v>
      </c>
    </row>
    <row r="260" spans="1:1" x14ac:dyDescent="0.25">
      <c r="A260" s="10">
        <v>44163</v>
      </c>
    </row>
    <row r="261" spans="1:1" x14ac:dyDescent="0.25">
      <c r="A261" s="10">
        <v>44164</v>
      </c>
    </row>
    <row r="262" spans="1:1" x14ac:dyDescent="0.25">
      <c r="A262" s="10">
        <v>44165</v>
      </c>
    </row>
    <row r="263" spans="1:1" x14ac:dyDescent="0.25">
      <c r="A263" s="9" t="s">
        <v>85</v>
      </c>
    </row>
    <row r="264" spans="1:1" x14ac:dyDescent="0.25">
      <c r="A264" s="10">
        <v>44166</v>
      </c>
    </row>
    <row r="265" spans="1:1" x14ac:dyDescent="0.25">
      <c r="A265" s="10">
        <v>44167</v>
      </c>
    </row>
    <row r="266" spans="1:1" x14ac:dyDescent="0.25">
      <c r="A266" s="10">
        <v>44168</v>
      </c>
    </row>
    <row r="267" spans="1:1" x14ac:dyDescent="0.25">
      <c r="A267" s="10">
        <v>44169</v>
      </c>
    </row>
    <row r="268" spans="1:1" x14ac:dyDescent="0.25">
      <c r="A268" s="10">
        <v>44170</v>
      </c>
    </row>
    <row r="269" spans="1:1" x14ac:dyDescent="0.25">
      <c r="A269" s="10">
        <v>44171</v>
      </c>
    </row>
    <row r="270" spans="1:1" x14ac:dyDescent="0.25">
      <c r="A270" s="10">
        <v>44172</v>
      </c>
    </row>
    <row r="271" spans="1:1" x14ac:dyDescent="0.25">
      <c r="A271" s="10">
        <v>44173</v>
      </c>
    </row>
    <row r="272" spans="1:1" x14ac:dyDescent="0.25">
      <c r="A272" s="10">
        <v>44174</v>
      </c>
    </row>
    <row r="273" spans="1:1" x14ac:dyDescent="0.25">
      <c r="A273" s="10">
        <v>44175</v>
      </c>
    </row>
    <row r="274" spans="1:1" x14ac:dyDescent="0.25">
      <c r="A274" s="10">
        <v>44176</v>
      </c>
    </row>
    <row r="275" spans="1:1" x14ac:dyDescent="0.25">
      <c r="A275" s="10">
        <v>44177</v>
      </c>
    </row>
    <row r="276" spans="1:1" x14ac:dyDescent="0.25">
      <c r="A276" s="10">
        <v>44178</v>
      </c>
    </row>
    <row r="277" spans="1:1" x14ac:dyDescent="0.25">
      <c r="A277" s="10">
        <v>44179</v>
      </c>
    </row>
    <row r="278" spans="1:1" x14ac:dyDescent="0.25">
      <c r="A278" s="10">
        <v>44180</v>
      </c>
    </row>
    <row r="279" spans="1:1" x14ac:dyDescent="0.25">
      <c r="A279" s="10">
        <v>44181</v>
      </c>
    </row>
    <row r="280" spans="1:1" x14ac:dyDescent="0.25">
      <c r="A280" s="10">
        <v>44182</v>
      </c>
    </row>
    <row r="281" spans="1:1" x14ac:dyDescent="0.25">
      <c r="A281" s="10">
        <v>44183</v>
      </c>
    </row>
    <row r="282" spans="1:1" x14ac:dyDescent="0.25">
      <c r="A282" s="10">
        <v>44184</v>
      </c>
    </row>
    <row r="283" spans="1:1" x14ac:dyDescent="0.25">
      <c r="A283" s="10">
        <v>44185</v>
      </c>
    </row>
    <row r="284" spans="1:1" x14ac:dyDescent="0.25">
      <c r="A284" s="10">
        <v>44186</v>
      </c>
    </row>
    <row r="285" spans="1:1" x14ac:dyDescent="0.25">
      <c r="A285" s="10">
        <v>44187</v>
      </c>
    </row>
    <row r="286" spans="1:1" x14ac:dyDescent="0.25">
      <c r="A286" s="10">
        <v>44188</v>
      </c>
    </row>
    <row r="287" spans="1:1" x14ac:dyDescent="0.25">
      <c r="A287" s="10">
        <v>44189</v>
      </c>
    </row>
    <row r="288" spans="1:1" x14ac:dyDescent="0.25">
      <c r="A288" s="10">
        <v>44190</v>
      </c>
    </row>
    <row r="289" spans="1:1" x14ac:dyDescent="0.25">
      <c r="A289" s="10">
        <v>44191</v>
      </c>
    </row>
    <row r="290" spans="1:1" x14ac:dyDescent="0.25">
      <c r="A290" s="10">
        <v>44192</v>
      </c>
    </row>
    <row r="291" spans="1:1" x14ac:dyDescent="0.25">
      <c r="A291" s="10">
        <v>44193</v>
      </c>
    </row>
    <row r="292" spans="1:1" x14ac:dyDescent="0.25">
      <c r="A292" s="10">
        <v>44194</v>
      </c>
    </row>
    <row r="293" spans="1:1" x14ac:dyDescent="0.25">
      <c r="A293" s="10">
        <v>44195</v>
      </c>
    </row>
    <row r="294" spans="1:1" x14ac:dyDescent="0.25">
      <c r="A294" s="10">
        <v>44196</v>
      </c>
    </row>
    <row r="295" spans="1:1" x14ac:dyDescent="0.25">
      <c r="A295" s="7" t="s">
        <v>71</v>
      </c>
    </row>
    <row r="296" spans="1:1" x14ac:dyDescent="0.25">
      <c r="A296" s="8" t="s">
        <v>87</v>
      </c>
    </row>
    <row r="297" spans="1:1" x14ac:dyDescent="0.25">
      <c r="A297" s="9" t="s">
        <v>88</v>
      </c>
    </row>
    <row r="298" spans="1:1" x14ac:dyDescent="0.25">
      <c r="A298" s="10">
        <v>44197</v>
      </c>
    </row>
    <row r="299" spans="1:1" x14ac:dyDescent="0.25">
      <c r="A299" s="10">
        <v>44198</v>
      </c>
    </row>
    <row r="300" spans="1:1" x14ac:dyDescent="0.25">
      <c r="A300" s="10">
        <v>44199</v>
      </c>
    </row>
    <row r="301" spans="1:1" x14ac:dyDescent="0.25">
      <c r="A301" s="10">
        <v>44200</v>
      </c>
    </row>
    <row r="302" spans="1:1" x14ac:dyDescent="0.25">
      <c r="A302" s="10">
        <v>44201</v>
      </c>
    </row>
    <row r="303" spans="1:1" x14ac:dyDescent="0.25">
      <c r="A303" s="10">
        <v>44202</v>
      </c>
    </row>
    <row r="304" spans="1:1" x14ac:dyDescent="0.25">
      <c r="A304" s="10">
        <v>44203</v>
      </c>
    </row>
    <row r="305" spans="1:1" x14ac:dyDescent="0.25">
      <c r="A305" s="10">
        <v>44204</v>
      </c>
    </row>
    <row r="306" spans="1:1" x14ac:dyDescent="0.25">
      <c r="A306" s="10">
        <v>44205</v>
      </c>
    </row>
    <row r="307" spans="1:1" x14ac:dyDescent="0.25">
      <c r="A307" s="10">
        <v>44206</v>
      </c>
    </row>
    <row r="308" spans="1:1" x14ac:dyDescent="0.25">
      <c r="A308" s="10">
        <v>44207</v>
      </c>
    </row>
    <row r="309" spans="1:1" x14ac:dyDescent="0.25">
      <c r="A309" s="10">
        <v>44208</v>
      </c>
    </row>
    <row r="310" spans="1:1" x14ac:dyDescent="0.25">
      <c r="A310" s="10">
        <v>44209</v>
      </c>
    </row>
    <row r="311" spans="1:1" x14ac:dyDescent="0.25">
      <c r="A311" s="10">
        <v>44210</v>
      </c>
    </row>
    <row r="312" spans="1:1" x14ac:dyDescent="0.25">
      <c r="A312" s="10">
        <v>44211</v>
      </c>
    </row>
    <row r="313" spans="1:1" x14ac:dyDescent="0.25">
      <c r="A313" s="10">
        <v>44212</v>
      </c>
    </row>
    <row r="314" spans="1:1" x14ac:dyDescent="0.25">
      <c r="A314" s="10">
        <v>44213</v>
      </c>
    </row>
    <row r="315" spans="1:1" x14ac:dyDescent="0.25">
      <c r="A315" s="10">
        <v>44214</v>
      </c>
    </row>
    <row r="316" spans="1:1" x14ac:dyDescent="0.25">
      <c r="A316" s="10">
        <v>44215</v>
      </c>
    </row>
    <row r="317" spans="1:1" x14ac:dyDescent="0.25">
      <c r="A317" s="10">
        <v>44216</v>
      </c>
    </row>
    <row r="318" spans="1:1" x14ac:dyDescent="0.25">
      <c r="A318" s="10">
        <v>44217</v>
      </c>
    </row>
    <row r="319" spans="1:1" x14ac:dyDescent="0.25">
      <c r="A319" s="10">
        <v>44218</v>
      </c>
    </row>
    <row r="320" spans="1:1" x14ac:dyDescent="0.25">
      <c r="A320" s="10">
        <v>44219</v>
      </c>
    </row>
    <row r="321" spans="1:1" x14ac:dyDescent="0.25">
      <c r="A321" s="10">
        <v>44220</v>
      </c>
    </row>
    <row r="322" spans="1:1" x14ac:dyDescent="0.25">
      <c r="A322" s="10">
        <v>44221</v>
      </c>
    </row>
    <row r="323" spans="1:1" x14ac:dyDescent="0.25">
      <c r="A323" s="10">
        <v>44222</v>
      </c>
    </row>
    <row r="324" spans="1:1" x14ac:dyDescent="0.25">
      <c r="A324" s="10">
        <v>44223</v>
      </c>
    </row>
    <row r="325" spans="1:1" x14ac:dyDescent="0.25">
      <c r="A325" s="10">
        <v>44224</v>
      </c>
    </row>
    <row r="326" spans="1:1" x14ac:dyDescent="0.25">
      <c r="A326" s="10">
        <v>44225</v>
      </c>
    </row>
    <row r="327" spans="1:1" x14ac:dyDescent="0.25">
      <c r="A327" s="10">
        <v>44226</v>
      </c>
    </row>
    <row r="328" spans="1:1" x14ac:dyDescent="0.25">
      <c r="A328" s="10">
        <v>44227</v>
      </c>
    </row>
    <row r="329" spans="1:1" x14ac:dyDescent="0.25">
      <c r="A329" s="9" t="s">
        <v>89</v>
      </c>
    </row>
    <row r="330" spans="1:1" x14ac:dyDescent="0.25">
      <c r="A330" s="10">
        <v>44228</v>
      </c>
    </row>
    <row r="331" spans="1:1" x14ac:dyDescent="0.25">
      <c r="A331" s="10">
        <v>44229</v>
      </c>
    </row>
    <row r="332" spans="1:1" x14ac:dyDescent="0.25">
      <c r="A332" s="10">
        <v>44230</v>
      </c>
    </row>
    <row r="333" spans="1:1" x14ac:dyDescent="0.25">
      <c r="A333" s="10">
        <v>44231</v>
      </c>
    </row>
    <row r="334" spans="1:1" x14ac:dyDescent="0.25">
      <c r="A334" s="10">
        <v>44232</v>
      </c>
    </row>
    <row r="335" spans="1:1" x14ac:dyDescent="0.25">
      <c r="A335" s="10">
        <v>44233</v>
      </c>
    </row>
    <row r="336" spans="1:1" x14ac:dyDescent="0.25">
      <c r="A336" s="10">
        <v>44234</v>
      </c>
    </row>
    <row r="337" spans="1:1" x14ac:dyDescent="0.25">
      <c r="A337" s="10">
        <v>44235</v>
      </c>
    </row>
    <row r="338" spans="1:1" x14ac:dyDescent="0.25">
      <c r="A338" s="10">
        <v>44236</v>
      </c>
    </row>
    <row r="339" spans="1:1" x14ac:dyDescent="0.25">
      <c r="A339" s="10">
        <v>44237</v>
      </c>
    </row>
    <row r="340" spans="1:1" x14ac:dyDescent="0.25">
      <c r="A340" s="10">
        <v>44238</v>
      </c>
    </row>
    <row r="341" spans="1:1" x14ac:dyDescent="0.25">
      <c r="A341" s="10">
        <v>44239</v>
      </c>
    </row>
    <row r="342" spans="1:1" x14ac:dyDescent="0.25">
      <c r="A342" s="10">
        <v>44240</v>
      </c>
    </row>
    <row r="343" spans="1:1" x14ac:dyDescent="0.25">
      <c r="A343" s="10">
        <v>44241</v>
      </c>
    </row>
    <row r="344" spans="1:1" x14ac:dyDescent="0.25">
      <c r="A344" s="10">
        <v>44242</v>
      </c>
    </row>
    <row r="345" spans="1:1" x14ac:dyDescent="0.25">
      <c r="A345" s="10">
        <v>44243</v>
      </c>
    </row>
    <row r="346" spans="1:1" x14ac:dyDescent="0.25">
      <c r="A346" s="10">
        <v>44244</v>
      </c>
    </row>
    <row r="347" spans="1:1" x14ac:dyDescent="0.25">
      <c r="A347" s="10">
        <v>44245</v>
      </c>
    </row>
    <row r="348" spans="1:1" x14ac:dyDescent="0.25">
      <c r="A348" s="10">
        <v>44246</v>
      </c>
    </row>
    <row r="349" spans="1:1" x14ac:dyDescent="0.25">
      <c r="A349" s="10">
        <v>44247</v>
      </c>
    </row>
    <row r="350" spans="1:1" x14ac:dyDescent="0.25">
      <c r="A350" s="10">
        <v>44248</v>
      </c>
    </row>
    <row r="351" spans="1:1" x14ac:dyDescent="0.25">
      <c r="A351" s="10">
        <v>44249</v>
      </c>
    </row>
    <row r="352" spans="1:1" x14ac:dyDescent="0.25">
      <c r="A352" s="10">
        <v>44250</v>
      </c>
    </row>
    <row r="353" spans="1:1" x14ac:dyDescent="0.25">
      <c r="A353" s="10">
        <v>44251</v>
      </c>
    </row>
    <row r="354" spans="1:1" x14ac:dyDescent="0.25">
      <c r="A354" s="10">
        <v>44252</v>
      </c>
    </row>
    <row r="355" spans="1:1" x14ac:dyDescent="0.25">
      <c r="A355" s="10">
        <v>44253</v>
      </c>
    </row>
    <row r="356" spans="1:1" x14ac:dyDescent="0.25">
      <c r="A356" s="10">
        <v>44254</v>
      </c>
    </row>
    <row r="357" spans="1:1" x14ac:dyDescent="0.25">
      <c r="A357" s="10">
        <v>44255</v>
      </c>
    </row>
    <row r="358" spans="1:1" x14ac:dyDescent="0.25">
      <c r="A358" s="9" t="s">
        <v>90</v>
      </c>
    </row>
    <row r="359" spans="1:1" x14ac:dyDescent="0.25">
      <c r="A359" s="10">
        <v>44256</v>
      </c>
    </row>
    <row r="360" spans="1:1" x14ac:dyDescent="0.25">
      <c r="A360" s="10">
        <v>44257</v>
      </c>
    </row>
    <row r="361" spans="1:1" x14ac:dyDescent="0.25">
      <c r="A361" s="10">
        <v>44258</v>
      </c>
    </row>
    <row r="362" spans="1:1" x14ac:dyDescent="0.25">
      <c r="A362" s="10">
        <v>44259</v>
      </c>
    </row>
    <row r="363" spans="1:1" x14ac:dyDescent="0.25">
      <c r="A363" s="10">
        <v>44260</v>
      </c>
    </row>
    <row r="364" spans="1:1" x14ac:dyDescent="0.25">
      <c r="A364" s="10">
        <v>44261</v>
      </c>
    </row>
    <row r="365" spans="1:1" x14ac:dyDescent="0.25">
      <c r="A365" s="10">
        <v>44262</v>
      </c>
    </row>
    <row r="366" spans="1:1" x14ac:dyDescent="0.25">
      <c r="A366" s="10">
        <v>44263</v>
      </c>
    </row>
    <row r="367" spans="1:1" x14ac:dyDescent="0.25">
      <c r="A367" s="10">
        <v>44264</v>
      </c>
    </row>
    <row r="368" spans="1:1" x14ac:dyDescent="0.25">
      <c r="A368" s="10">
        <v>44265</v>
      </c>
    </row>
    <row r="369" spans="1:1" x14ac:dyDescent="0.25">
      <c r="A369" s="10">
        <v>44266</v>
      </c>
    </row>
    <row r="370" spans="1:1" x14ac:dyDescent="0.25">
      <c r="A370" s="10">
        <v>44267</v>
      </c>
    </row>
    <row r="371" spans="1:1" x14ac:dyDescent="0.25">
      <c r="A371" s="10">
        <v>44268</v>
      </c>
    </row>
    <row r="372" spans="1:1" x14ac:dyDescent="0.25">
      <c r="A372" s="10">
        <v>44269</v>
      </c>
    </row>
    <row r="373" spans="1:1" x14ac:dyDescent="0.25">
      <c r="A373" s="10">
        <v>44270</v>
      </c>
    </row>
    <row r="374" spans="1:1" x14ac:dyDescent="0.25">
      <c r="A374" s="10">
        <v>44271</v>
      </c>
    </row>
    <row r="375" spans="1:1" x14ac:dyDescent="0.25">
      <c r="A375" s="10">
        <v>44272</v>
      </c>
    </row>
    <row r="376" spans="1:1" x14ac:dyDescent="0.25">
      <c r="A376" s="10">
        <v>44273</v>
      </c>
    </row>
    <row r="377" spans="1:1" x14ac:dyDescent="0.25">
      <c r="A377" s="10">
        <v>44274</v>
      </c>
    </row>
    <row r="378" spans="1:1" x14ac:dyDescent="0.25">
      <c r="A378" s="10">
        <v>44275</v>
      </c>
    </row>
    <row r="379" spans="1:1" x14ac:dyDescent="0.25">
      <c r="A379" s="10">
        <v>44276</v>
      </c>
    </row>
    <row r="380" spans="1:1" x14ac:dyDescent="0.25">
      <c r="A380" s="10">
        <v>44277</v>
      </c>
    </row>
    <row r="381" spans="1:1" x14ac:dyDescent="0.25">
      <c r="A381" s="10">
        <v>44278</v>
      </c>
    </row>
    <row r="382" spans="1:1" x14ac:dyDescent="0.25">
      <c r="A382" s="10">
        <v>44279</v>
      </c>
    </row>
    <row r="383" spans="1:1" x14ac:dyDescent="0.25">
      <c r="A383" s="10">
        <v>44280</v>
      </c>
    </row>
    <row r="384" spans="1:1" x14ac:dyDescent="0.25">
      <c r="A384" s="10">
        <v>44281</v>
      </c>
    </row>
    <row r="385" spans="1:1" x14ac:dyDescent="0.25">
      <c r="A385" s="10">
        <v>44282</v>
      </c>
    </row>
    <row r="386" spans="1:1" x14ac:dyDescent="0.25">
      <c r="A386" s="10">
        <v>44283</v>
      </c>
    </row>
    <row r="387" spans="1:1" x14ac:dyDescent="0.25">
      <c r="A387" s="10">
        <v>44284</v>
      </c>
    </row>
    <row r="388" spans="1:1" x14ac:dyDescent="0.25">
      <c r="A388" s="10">
        <v>44285</v>
      </c>
    </row>
    <row r="389" spans="1:1" x14ac:dyDescent="0.25">
      <c r="A389" s="10">
        <v>44286</v>
      </c>
    </row>
    <row r="390" spans="1:1" x14ac:dyDescent="0.25">
      <c r="A390" s="8" t="s">
        <v>75</v>
      </c>
    </row>
    <row r="391" spans="1:1" x14ac:dyDescent="0.25">
      <c r="A391" s="9" t="s">
        <v>78</v>
      </c>
    </row>
    <row r="392" spans="1:1" x14ac:dyDescent="0.25">
      <c r="A392" s="10">
        <v>44287</v>
      </c>
    </row>
    <row r="393" spans="1:1" x14ac:dyDescent="0.25">
      <c r="A393" s="10">
        <v>44288</v>
      </c>
    </row>
    <row r="394" spans="1:1" x14ac:dyDescent="0.25">
      <c r="A394" s="10">
        <v>44289</v>
      </c>
    </row>
    <row r="395" spans="1:1" x14ac:dyDescent="0.25">
      <c r="A395" s="10">
        <v>44290</v>
      </c>
    </row>
    <row r="396" spans="1:1" x14ac:dyDescent="0.25">
      <c r="A396" s="10">
        <v>44291</v>
      </c>
    </row>
    <row r="397" spans="1:1" x14ac:dyDescent="0.25">
      <c r="A397" s="10">
        <v>44292</v>
      </c>
    </row>
    <row r="398" spans="1:1" x14ac:dyDescent="0.25">
      <c r="A398" s="10">
        <v>44293</v>
      </c>
    </row>
    <row r="399" spans="1:1" x14ac:dyDescent="0.25">
      <c r="A399" s="10">
        <v>44294</v>
      </c>
    </row>
    <row r="400" spans="1:1" x14ac:dyDescent="0.25">
      <c r="A400" s="10">
        <v>44295</v>
      </c>
    </row>
    <row r="401" spans="1:1" x14ac:dyDescent="0.25">
      <c r="A401" s="10">
        <v>44296</v>
      </c>
    </row>
    <row r="402" spans="1:1" x14ac:dyDescent="0.25">
      <c r="A402" s="10">
        <v>44297</v>
      </c>
    </row>
    <row r="403" spans="1:1" x14ac:dyDescent="0.25">
      <c r="A403" s="10">
        <v>44298</v>
      </c>
    </row>
    <row r="404" spans="1:1" x14ac:dyDescent="0.25">
      <c r="A404" s="10">
        <v>44299</v>
      </c>
    </row>
    <row r="405" spans="1:1" x14ac:dyDescent="0.25">
      <c r="A405" s="10">
        <v>44300</v>
      </c>
    </row>
    <row r="406" spans="1:1" x14ac:dyDescent="0.25">
      <c r="A406" s="10">
        <v>44301</v>
      </c>
    </row>
    <row r="407" spans="1:1" x14ac:dyDescent="0.25">
      <c r="A407" s="10">
        <v>44302</v>
      </c>
    </row>
    <row r="408" spans="1:1" x14ac:dyDescent="0.25">
      <c r="A408" s="10">
        <v>44303</v>
      </c>
    </row>
    <row r="409" spans="1:1" x14ac:dyDescent="0.25">
      <c r="A409" s="10">
        <v>44304</v>
      </c>
    </row>
    <row r="410" spans="1:1" x14ac:dyDescent="0.25">
      <c r="A410" s="10">
        <v>44305</v>
      </c>
    </row>
    <row r="411" spans="1:1" x14ac:dyDescent="0.25">
      <c r="A411" s="10">
        <v>44306</v>
      </c>
    </row>
    <row r="412" spans="1:1" x14ac:dyDescent="0.25">
      <c r="A412" s="10">
        <v>44307</v>
      </c>
    </row>
    <row r="413" spans="1:1" x14ac:dyDescent="0.25">
      <c r="A413" s="10">
        <v>44308</v>
      </c>
    </row>
    <row r="414" spans="1:1" x14ac:dyDescent="0.25">
      <c r="A414" s="10">
        <v>44309</v>
      </c>
    </row>
    <row r="415" spans="1:1" x14ac:dyDescent="0.25">
      <c r="A415" s="10">
        <v>44310</v>
      </c>
    </row>
    <row r="416" spans="1:1" x14ac:dyDescent="0.25">
      <c r="A416" s="10">
        <v>44311</v>
      </c>
    </row>
    <row r="417" spans="1:1" x14ac:dyDescent="0.25">
      <c r="A417" s="10">
        <v>44312</v>
      </c>
    </row>
    <row r="418" spans="1:1" x14ac:dyDescent="0.25">
      <c r="A418" s="10">
        <v>44313</v>
      </c>
    </row>
    <row r="419" spans="1:1" x14ac:dyDescent="0.25">
      <c r="A419" s="10">
        <v>44314</v>
      </c>
    </row>
    <row r="420" spans="1:1" x14ac:dyDescent="0.25">
      <c r="A420" s="10">
        <v>44315</v>
      </c>
    </row>
    <row r="421" spans="1:1" x14ac:dyDescent="0.25">
      <c r="A421" s="10">
        <v>44316</v>
      </c>
    </row>
    <row r="422" spans="1:1" x14ac:dyDescent="0.25">
      <c r="A422" s="9" t="s">
        <v>53</v>
      </c>
    </row>
    <row r="423" spans="1:1" x14ac:dyDescent="0.25">
      <c r="A423" s="10">
        <v>44317</v>
      </c>
    </row>
    <row r="424" spans="1:1" x14ac:dyDescent="0.25">
      <c r="A424" s="10">
        <v>44318</v>
      </c>
    </row>
    <row r="425" spans="1:1" x14ac:dyDescent="0.25">
      <c r="A425" s="10">
        <v>44319</v>
      </c>
    </row>
    <row r="426" spans="1:1" x14ac:dyDescent="0.25">
      <c r="A426" s="10">
        <v>44320</v>
      </c>
    </row>
    <row r="427" spans="1:1" x14ac:dyDescent="0.25">
      <c r="A427" s="10">
        <v>44321</v>
      </c>
    </row>
    <row r="428" spans="1:1" x14ac:dyDescent="0.25">
      <c r="A428" s="10">
        <v>44322</v>
      </c>
    </row>
    <row r="429" spans="1:1" x14ac:dyDescent="0.25">
      <c r="A429" s="10">
        <v>44323</v>
      </c>
    </row>
    <row r="430" spans="1:1" x14ac:dyDescent="0.25">
      <c r="A430" s="10">
        <v>44324</v>
      </c>
    </row>
    <row r="431" spans="1:1" x14ac:dyDescent="0.25">
      <c r="A431" s="10">
        <v>44325</v>
      </c>
    </row>
    <row r="432" spans="1:1" x14ac:dyDescent="0.25">
      <c r="A432" s="10">
        <v>44326</v>
      </c>
    </row>
    <row r="433" spans="1:1" x14ac:dyDescent="0.25">
      <c r="A433" s="10">
        <v>44327</v>
      </c>
    </row>
    <row r="434" spans="1:1" x14ac:dyDescent="0.25">
      <c r="A434" s="10">
        <v>44328</v>
      </c>
    </row>
    <row r="435" spans="1:1" x14ac:dyDescent="0.25">
      <c r="A435" s="10">
        <v>44329</v>
      </c>
    </row>
    <row r="436" spans="1:1" x14ac:dyDescent="0.25">
      <c r="A436" s="10">
        <v>44330</v>
      </c>
    </row>
    <row r="437" spans="1:1" x14ac:dyDescent="0.25">
      <c r="A437" s="10">
        <v>44331</v>
      </c>
    </row>
    <row r="438" spans="1:1" x14ac:dyDescent="0.25">
      <c r="A438" s="10">
        <v>44332</v>
      </c>
    </row>
    <row r="439" spans="1:1" x14ac:dyDescent="0.25">
      <c r="A439" s="10">
        <v>44333</v>
      </c>
    </row>
    <row r="440" spans="1:1" x14ac:dyDescent="0.25">
      <c r="A440" s="10">
        <v>44334</v>
      </c>
    </row>
    <row r="441" spans="1:1" x14ac:dyDescent="0.25">
      <c r="A441" s="10">
        <v>44335</v>
      </c>
    </row>
    <row r="442" spans="1:1" x14ac:dyDescent="0.25">
      <c r="A442" s="10">
        <v>44336</v>
      </c>
    </row>
    <row r="443" spans="1:1" x14ac:dyDescent="0.25">
      <c r="A443" s="10">
        <v>44337</v>
      </c>
    </row>
    <row r="444" spans="1:1" x14ac:dyDescent="0.25">
      <c r="A444" s="10">
        <v>44338</v>
      </c>
    </row>
    <row r="445" spans="1:1" x14ac:dyDescent="0.25">
      <c r="A445" s="10">
        <v>44339</v>
      </c>
    </row>
    <row r="446" spans="1:1" x14ac:dyDescent="0.25">
      <c r="A446" s="10">
        <v>44340</v>
      </c>
    </row>
    <row r="447" spans="1:1" x14ac:dyDescent="0.25">
      <c r="A447" s="10">
        <v>44341</v>
      </c>
    </row>
    <row r="448" spans="1:1" x14ac:dyDescent="0.25">
      <c r="A448" s="10">
        <v>44342</v>
      </c>
    </row>
    <row r="449" spans="1:1" x14ac:dyDescent="0.25">
      <c r="A449" s="10">
        <v>44343</v>
      </c>
    </row>
    <row r="450" spans="1:1" x14ac:dyDescent="0.25">
      <c r="A450" s="10">
        <v>44344</v>
      </c>
    </row>
    <row r="451" spans="1:1" x14ac:dyDescent="0.25">
      <c r="A451" s="10">
        <v>44345</v>
      </c>
    </row>
    <row r="452" spans="1:1" x14ac:dyDescent="0.25">
      <c r="A452" s="10">
        <v>44346</v>
      </c>
    </row>
    <row r="453" spans="1:1" x14ac:dyDescent="0.25">
      <c r="A453" s="10">
        <v>44347</v>
      </c>
    </row>
    <row r="454" spans="1:1" x14ac:dyDescent="0.25">
      <c r="A454" s="9" t="s">
        <v>79</v>
      </c>
    </row>
    <row r="455" spans="1:1" x14ac:dyDescent="0.25">
      <c r="A455" s="10">
        <v>44348</v>
      </c>
    </row>
    <row r="456" spans="1:1" x14ac:dyDescent="0.25">
      <c r="A456" s="10">
        <v>44349</v>
      </c>
    </row>
    <row r="457" spans="1:1" x14ac:dyDescent="0.25">
      <c r="A457" s="10">
        <v>44350</v>
      </c>
    </row>
    <row r="458" spans="1:1" x14ac:dyDescent="0.25">
      <c r="A458" s="10">
        <v>44351</v>
      </c>
    </row>
    <row r="459" spans="1:1" x14ac:dyDescent="0.25">
      <c r="A459" s="10">
        <v>44352</v>
      </c>
    </row>
    <row r="460" spans="1:1" x14ac:dyDescent="0.25">
      <c r="A460" s="10">
        <v>44353</v>
      </c>
    </row>
    <row r="461" spans="1:1" x14ac:dyDescent="0.25">
      <c r="A461" s="10">
        <v>44354</v>
      </c>
    </row>
    <row r="462" spans="1:1" x14ac:dyDescent="0.25">
      <c r="A462" s="10">
        <v>44355</v>
      </c>
    </row>
    <row r="463" spans="1:1" x14ac:dyDescent="0.25">
      <c r="A463" s="10">
        <v>44356</v>
      </c>
    </row>
    <row r="464" spans="1:1" x14ac:dyDescent="0.25">
      <c r="A464" s="10">
        <v>44357</v>
      </c>
    </row>
    <row r="465" spans="1:1" x14ac:dyDescent="0.25">
      <c r="A465" s="10">
        <v>44358</v>
      </c>
    </row>
    <row r="466" spans="1:1" x14ac:dyDescent="0.25">
      <c r="A466" s="10">
        <v>44359</v>
      </c>
    </row>
    <row r="467" spans="1:1" x14ac:dyDescent="0.25">
      <c r="A467" s="10">
        <v>44360</v>
      </c>
    </row>
    <row r="468" spans="1:1" x14ac:dyDescent="0.25">
      <c r="A468" s="10">
        <v>44361</v>
      </c>
    </row>
    <row r="469" spans="1:1" x14ac:dyDescent="0.25">
      <c r="A469" s="10">
        <v>44362</v>
      </c>
    </row>
    <row r="470" spans="1:1" x14ac:dyDescent="0.25">
      <c r="A470" s="10">
        <v>44363</v>
      </c>
    </row>
    <row r="471" spans="1:1" x14ac:dyDescent="0.25">
      <c r="A471" s="10">
        <v>44364</v>
      </c>
    </row>
    <row r="472" spans="1:1" x14ac:dyDescent="0.25">
      <c r="A472" s="10">
        <v>44365</v>
      </c>
    </row>
    <row r="473" spans="1:1" x14ac:dyDescent="0.25">
      <c r="A473" s="10">
        <v>44366</v>
      </c>
    </row>
    <row r="474" spans="1:1" x14ac:dyDescent="0.25">
      <c r="A474" s="10">
        <v>44367</v>
      </c>
    </row>
    <row r="475" spans="1:1" x14ac:dyDescent="0.25">
      <c r="A475" s="10">
        <v>44368</v>
      </c>
    </row>
    <row r="476" spans="1:1" x14ac:dyDescent="0.25">
      <c r="A476" s="10">
        <v>44369</v>
      </c>
    </row>
    <row r="477" spans="1:1" x14ac:dyDescent="0.25">
      <c r="A477" s="10">
        <v>44370</v>
      </c>
    </row>
    <row r="478" spans="1:1" x14ac:dyDescent="0.25">
      <c r="A478" s="10">
        <v>44371</v>
      </c>
    </row>
    <row r="479" spans="1:1" x14ac:dyDescent="0.25">
      <c r="A479" s="10">
        <v>44372</v>
      </c>
    </row>
    <row r="480" spans="1:1" x14ac:dyDescent="0.25">
      <c r="A480" s="10">
        <v>44373</v>
      </c>
    </row>
    <row r="481" spans="1:1" x14ac:dyDescent="0.25">
      <c r="A481" s="10">
        <v>44374</v>
      </c>
    </row>
    <row r="482" spans="1:1" x14ac:dyDescent="0.25">
      <c r="A482" s="10">
        <v>44375</v>
      </c>
    </row>
    <row r="483" spans="1:1" x14ac:dyDescent="0.25">
      <c r="A483" s="10">
        <v>44376</v>
      </c>
    </row>
    <row r="484" spans="1:1" x14ac:dyDescent="0.25">
      <c r="A484" s="10">
        <v>44377</v>
      </c>
    </row>
    <row r="485" spans="1:1" x14ac:dyDescent="0.25">
      <c r="A485" s="8" t="s">
        <v>76</v>
      </c>
    </row>
    <row r="486" spans="1:1" x14ac:dyDescent="0.25">
      <c r="A486" s="9" t="s">
        <v>80</v>
      </c>
    </row>
    <row r="487" spans="1:1" x14ac:dyDescent="0.25">
      <c r="A487" s="10">
        <v>44378</v>
      </c>
    </row>
    <row r="488" spans="1:1" x14ac:dyDescent="0.25">
      <c r="A488" s="10">
        <v>44379</v>
      </c>
    </row>
    <row r="489" spans="1:1" x14ac:dyDescent="0.25">
      <c r="A489" s="10">
        <v>44380</v>
      </c>
    </row>
    <row r="490" spans="1:1" x14ac:dyDescent="0.25">
      <c r="A490" s="10">
        <v>44381</v>
      </c>
    </row>
    <row r="491" spans="1:1" x14ac:dyDescent="0.25">
      <c r="A491" s="10">
        <v>44382</v>
      </c>
    </row>
    <row r="492" spans="1:1" x14ac:dyDescent="0.25">
      <c r="A492" s="10">
        <v>44383</v>
      </c>
    </row>
    <row r="493" spans="1:1" x14ac:dyDescent="0.25">
      <c r="A493" s="10">
        <v>44384</v>
      </c>
    </row>
    <row r="494" spans="1:1" x14ac:dyDescent="0.25">
      <c r="A494" s="10">
        <v>44385</v>
      </c>
    </row>
    <row r="495" spans="1:1" x14ac:dyDescent="0.25">
      <c r="A495" s="10">
        <v>44386</v>
      </c>
    </row>
    <row r="496" spans="1:1" x14ac:dyDescent="0.25">
      <c r="A496" s="10">
        <v>44387</v>
      </c>
    </row>
    <row r="497" spans="1:1" x14ac:dyDescent="0.25">
      <c r="A497" s="10">
        <v>44388</v>
      </c>
    </row>
    <row r="498" spans="1:1" x14ac:dyDescent="0.25">
      <c r="A498" s="10">
        <v>44389</v>
      </c>
    </row>
    <row r="499" spans="1:1" x14ac:dyDescent="0.25">
      <c r="A499" s="10">
        <v>44390</v>
      </c>
    </row>
    <row r="500" spans="1:1" x14ac:dyDescent="0.25">
      <c r="A500" s="10">
        <v>44391</v>
      </c>
    </row>
    <row r="501" spans="1:1" x14ac:dyDescent="0.25">
      <c r="A501" s="10">
        <v>44392</v>
      </c>
    </row>
    <row r="502" spans="1:1" x14ac:dyDescent="0.25">
      <c r="A502" s="10">
        <v>44393</v>
      </c>
    </row>
    <row r="503" spans="1:1" x14ac:dyDescent="0.25">
      <c r="A503" s="10">
        <v>44394</v>
      </c>
    </row>
    <row r="504" spans="1:1" x14ac:dyDescent="0.25">
      <c r="A504" s="10">
        <v>44395</v>
      </c>
    </row>
    <row r="505" spans="1:1" x14ac:dyDescent="0.25">
      <c r="A505" s="10">
        <v>44396</v>
      </c>
    </row>
    <row r="506" spans="1:1" x14ac:dyDescent="0.25">
      <c r="A506" s="10">
        <v>44397</v>
      </c>
    </row>
    <row r="507" spans="1:1" x14ac:dyDescent="0.25">
      <c r="A507" s="10">
        <v>44398</v>
      </c>
    </row>
    <row r="508" spans="1:1" x14ac:dyDescent="0.25">
      <c r="A508" s="10">
        <v>44399</v>
      </c>
    </row>
    <row r="509" spans="1:1" x14ac:dyDescent="0.25">
      <c r="A509" s="10">
        <v>44400</v>
      </c>
    </row>
    <row r="510" spans="1:1" x14ac:dyDescent="0.25">
      <c r="A510" s="10">
        <v>44401</v>
      </c>
    </row>
    <row r="511" spans="1:1" x14ac:dyDescent="0.25">
      <c r="A511" s="10">
        <v>44402</v>
      </c>
    </row>
    <row r="512" spans="1:1" x14ac:dyDescent="0.25">
      <c r="A512" s="10">
        <v>44403</v>
      </c>
    </row>
    <row r="513" spans="1:1" x14ac:dyDescent="0.25">
      <c r="A513" s="10">
        <v>44404</v>
      </c>
    </row>
    <row r="514" spans="1:1" x14ac:dyDescent="0.25">
      <c r="A514" s="10">
        <v>44405</v>
      </c>
    </row>
    <row r="515" spans="1:1" x14ac:dyDescent="0.25">
      <c r="A515" s="10">
        <v>44406</v>
      </c>
    </row>
    <row r="516" spans="1:1" x14ac:dyDescent="0.25">
      <c r="A516" s="10">
        <v>44407</v>
      </c>
    </row>
    <row r="517" spans="1:1" x14ac:dyDescent="0.25">
      <c r="A517" s="10">
        <v>44408</v>
      </c>
    </row>
    <row r="518" spans="1:1" x14ac:dyDescent="0.25">
      <c r="A518" s="9" t="s">
        <v>81</v>
      </c>
    </row>
    <row r="519" spans="1:1" x14ac:dyDescent="0.25">
      <c r="A519" s="10">
        <v>44409</v>
      </c>
    </row>
    <row r="520" spans="1:1" x14ac:dyDescent="0.25">
      <c r="A520" s="10">
        <v>44410</v>
      </c>
    </row>
    <row r="521" spans="1:1" x14ac:dyDescent="0.25">
      <c r="A521" s="10">
        <v>44411</v>
      </c>
    </row>
    <row r="522" spans="1:1" x14ac:dyDescent="0.25">
      <c r="A522" s="10">
        <v>44412</v>
      </c>
    </row>
    <row r="523" spans="1:1" x14ac:dyDescent="0.25">
      <c r="A523" s="10">
        <v>44413</v>
      </c>
    </row>
    <row r="524" spans="1:1" x14ac:dyDescent="0.25">
      <c r="A524" s="10">
        <v>44414</v>
      </c>
    </row>
    <row r="525" spans="1:1" x14ac:dyDescent="0.25">
      <c r="A525" s="10">
        <v>44415</v>
      </c>
    </row>
    <row r="526" spans="1:1" x14ac:dyDescent="0.25">
      <c r="A526" s="10">
        <v>44416</v>
      </c>
    </row>
    <row r="527" spans="1:1" x14ac:dyDescent="0.25">
      <c r="A527" s="10">
        <v>44417</v>
      </c>
    </row>
    <row r="528" spans="1:1" x14ac:dyDescent="0.25">
      <c r="A528" s="10">
        <v>44418</v>
      </c>
    </row>
    <row r="529" spans="1:1" x14ac:dyDescent="0.25">
      <c r="A529" s="10">
        <v>44419</v>
      </c>
    </row>
    <row r="530" spans="1:1" x14ac:dyDescent="0.25">
      <c r="A530" s="10">
        <v>44420</v>
      </c>
    </row>
    <row r="531" spans="1:1" x14ac:dyDescent="0.25">
      <c r="A531" s="10">
        <v>44421</v>
      </c>
    </row>
    <row r="532" spans="1:1" x14ac:dyDescent="0.25">
      <c r="A532" s="10">
        <v>44422</v>
      </c>
    </row>
    <row r="533" spans="1:1" x14ac:dyDescent="0.25">
      <c r="A533" s="10">
        <v>44423</v>
      </c>
    </row>
    <row r="534" spans="1:1" x14ac:dyDescent="0.25">
      <c r="A534" s="10">
        <v>44424</v>
      </c>
    </row>
    <row r="535" spans="1:1" x14ac:dyDescent="0.25">
      <c r="A535" s="10">
        <v>44425</v>
      </c>
    </row>
    <row r="536" spans="1:1" x14ac:dyDescent="0.25">
      <c r="A536" s="10">
        <v>44426</v>
      </c>
    </row>
    <row r="537" spans="1:1" x14ac:dyDescent="0.25">
      <c r="A537" s="10">
        <v>44427</v>
      </c>
    </row>
    <row r="538" spans="1:1" x14ac:dyDescent="0.25">
      <c r="A538" s="10">
        <v>44428</v>
      </c>
    </row>
    <row r="539" spans="1:1" x14ac:dyDescent="0.25">
      <c r="A539" s="10">
        <v>44429</v>
      </c>
    </row>
    <row r="540" spans="1:1" x14ac:dyDescent="0.25">
      <c r="A540" s="10">
        <v>44430</v>
      </c>
    </row>
    <row r="541" spans="1:1" x14ac:dyDescent="0.25">
      <c r="A541" s="10">
        <v>44431</v>
      </c>
    </row>
    <row r="542" spans="1:1" x14ac:dyDescent="0.25">
      <c r="A542" s="10">
        <v>44432</v>
      </c>
    </row>
    <row r="543" spans="1:1" x14ac:dyDescent="0.25">
      <c r="A543" s="10">
        <v>44433</v>
      </c>
    </row>
    <row r="544" spans="1:1" x14ac:dyDescent="0.25">
      <c r="A544" s="10">
        <v>44434</v>
      </c>
    </row>
    <row r="545" spans="1:1" x14ac:dyDescent="0.25">
      <c r="A545" s="10">
        <v>44435</v>
      </c>
    </row>
    <row r="546" spans="1:1" x14ac:dyDescent="0.25">
      <c r="A546" s="10">
        <v>44436</v>
      </c>
    </row>
    <row r="547" spans="1:1" x14ac:dyDescent="0.25">
      <c r="A547" s="10">
        <v>44437</v>
      </c>
    </row>
    <row r="548" spans="1:1" x14ac:dyDescent="0.25">
      <c r="A548" s="10">
        <v>44438</v>
      </c>
    </row>
    <row r="549" spans="1:1" x14ac:dyDescent="0.25">
      <c r="A549" s="10">
        <v>44439</v>
      </c>
    </row>
    <row r="550" spans="1:1" x14ac:dyDescent="0.25">
      <c r="A550" s="9" t="s">
        <v>82</v>
      </c>
    </row>
    <row r="551" spans="1:1" x14ac:dyDescent="0.25">
      <c r="A551" s="10">
        <v>44440</v>
      </c>
    </row>
    <row r="552" spans="1:1" x14ac:dyDescent="0.25">
      <c r="A552" s="10">
        <v>44441</v>
      </c>
    </row>
    <row r="553" spans="1:1" x14ac:dyDescent="0.25">
      <c r="A553" s="10">
        <v>44442</v>
      </c>
    </row>
    <row r="554" spans="1:1" x14ac:dyDescent="0.25">
      <c r="A554" s="10">
        <v>44443</v>
      </c>
    </row>
    <row r="555" spans="1:1" x14ac:dyDescent="0.25">
      <c r="A555" s="10">
        <v>44444</v>
      </c>
    </row>
    <row r="556" spans="1:1" x14ac:dyDescent="0.25">
      <c r="A556" s="10">
        <v>44445</v>
      </c>
    </row>
    <row r="557" spans="1:1" x14ac:dyDescent="0.25">
      <c r="A557" s="10">
        <v>44446</v>
      </c>
    </row>
    <row r="558" spans="1:1" x14ac:dyDescent="0.25">
      <c r="A558" s="10">
        <v>44447</v>
      </c>
    </row>
    <row r="559" spans="1:1" x14ac:dyDescent="0.25">
      <c r="A559" s="10">
        <v>44448</v>
      </c>
    </row>
    <row r="560" spans="1:1" x14ac:dyDescent="0.25">
      <c r="A560" s="10">
        <v>44449</v>
      </c>
    </row>
    <row r="561" spans="1:1" x14ac:dyDescent="0.25">
      <c r="A561" s="10">
        <v>44450</v>
      </c>
    </row>
    <row r="562" spans="1:1" x14ac:dyDescent="0.25">
      <c r="A562" s="10">
        <v>44451</v>
      </c>
    </row>
    <row r="563" spans="1:1" x14ac:dyDescent="0.25">
      <c r="A563" s="10">
        <v>44452</v>
      </c>
    </row>
    <row r="564" spans="1:1" x14ac:dyDescent="0.25">
      <c r="A564" s="10">
        <v>44453</v>
      </c>
    </row>
    <row r="565" spans="1:1" x14ac:dyDescent="0.25">
      <c r="A565" s="10">
        <v>44454</v>
      </c>
    </row>
    <row r="566" spans="1:1" x14ac:dyDescent="0.25">
      <c r="A566" s="10">
        <v>44455</v>
      </c>
    </row>
    <row r="567" spans="1:1" x14ac:dyDescent="0.25">
      <c r="A567" s="10">
        <v>44456</v>
      </c>
    </row>
    <row r="568" spans="1:1" x14ac:dyDescent="0.25">
      <c r="A568" s="10">
        <v>44457</v>
      </c>
    </row>
    <row r="569" spans="1:1" x14ac:dyDescent="0.25">
      <c r="A569" s="10">
        <v>44458</v>
      </c>
    </row>
    <row r="570" spans="1:1" x14ac:dyDescent="0.25">
      <c r="A570" s="10">
        <v>44459</v>
      </c>
    </row>
    <row r="571" spans="1:1" x14ac:dyDescent="0.25">
      <c r="A571" s="10">
        <v>44460</v>
      </c>
    </row>
    <row r="572" spans="1:1" x14ac:dyDescent="0.25">
      <c r="A572" s="10">
        <v>44461</v>
      </c>
    </row>
    <row r="573" spans="1:1" x14ac:dyDescent="0.25">
      <c r="A573" s="10">
        <v>44462</v>
      </c>
    </row>
    <row r="574" spans="1:1" x14ac:dyDescent="0.25">
      <c r="A574" s="10">
        <v>44463</v>
      </c>
    </row>
    <row r="575" spans="1:1" x14ac:dyDescent="0.25">
      <c r="A575" s="10">
        <v>44464</v>
      </c>
    </row>
    <row r="576" spans="1:1" x14ac:dyDescent="0.25">
      <c r="A576" s="10">
        <v>44465</v>
      </c>
    </row>
    <row r="577" spans="1:1" x14ac:dyDescent="0.25">
      <c r="A577" s="10">
        <v>44466</v>
      </c>
    </row>
    <row r="578" spans="1:1" x14ac:dyDescent="0.25">
      <c r="A578" s="10">
        <v>44467</v>
      </c>
    </row>
    <row r="579" spans="1:1" x14ac:dyDescent="0.25">
      <c r="A579" s="10">
        <v>44468</v>
      </c>
    </row>
    <row r="580" spans="1:1" x14ac:dyDescent="0.25">
      <c r="A580" s="10">
        <v>44469</v>
      </c>
    </row>
    <row r="581" spans="1:1" x14ac:dyDescent="0.25">
      <c r="A581" s="8" t="s">
        <v>77</v>
      </c>
    </row>
    <row r="582" spans="1:1" x14ac:dyDescent="0.25">
      <c r="A582" s="9" t="s">
        <v>83</v>
      </c>
    </row>
    <row r="583" spans="1:1" x14ac:dyDescent="0.25">
      <c r="A583" s="10">
        <v>44470</v>
      </c>
    </row>
    <row r="584" spans="1:1" x14ac:dyDescent="0.25">
      <c r="A584" s="10">
        <v>44471</v>
      </c>
    </row>
    <row r="585" spans="1:1" x14ac:dyDescent="0.25">
      <c r="A585" s="10">
        <v>44472</v>
      </c>
    </row>
    <row r="586" spans="1:1" x14ac:dyDescent="0.25">
      <c r="A586" s="10">
        <v>44473</v>
      </c>
    </row>
    <row r="587" spans="1:1" x14ac:dyDescent="0.25">
      <c r="A587" s="10">
        <v>44474</v>
      </c>
    </row>
    <row r="588" spans="1:1" x14ac:dyDescent="0.25">
      <c r="A588" s="10">
        <v>44475</v>
      </c>
    </row>
    <row r="589" spans="1:1" x14ac:dyDescent="0.25">
      <c r="A589" s="10">
        <v>44476</v>
      </c>
    </row>
    <row r="590" spans="1:1" x14ac:dyDescent="0.25">
      <c r="A590" s="10">
        <v>44477</v>
      </c>
    </row>
    <row r="591" spans="1:1" x14ac:dyDescent="0.25">
      <c r="A591" s="10">
        <v>44478</v>
      </c>
    </row>
    <row r="592" spans="1:1" x14ac:dyDescent="0.25">
      <c r="A592" s="10">
        <v>44479</v>
      </c>
    </row>
    <row r="593" spans="1:1" x14ac:dyDescent="0.25">
      <c r="A593" s="10">
        <v>44480</v>
      </c>
    </row>
    <row r="594" spans="1:1" x14ac:dyDescent="0.25">
      <c r="A594" s="10">
        <v>44481</v>
      </c>
    </row>
    <row r="595" spans="1:1" x14ac:dyDescent="0.25">
      <c r="A595" s="10">
        <v>44482</v>
      </c>
    </row>
    <row r="596" spans="1:1" x14ac:dyDescent="0.25">
      <c r="A596" s="10">
        <v>44483</v>
      </c>
    </row>
    <row r="597" spans="1:1" x14ac:dyDescent="0.25">
      <c r="A597" s="10">
        <v>44484</v>
      </c>
    </row>
    <row r="598" spans="1:1" x14ac:dyDescent="0.25">
      <c r="A598" s="10">
        <v>44485</v>
      </c>
    </row>
    <row r="599" spans="1:1" x14ac:dyDescent="0.25">
      <c r="A599" s="10">
        <v>44486</v>
      </c>
    </row>
    <row r="600" spans="1:1" x14ac:dyDescent="0.25">
      <c r="A600" s="10">
        <v>44487</v>
      </c>
    </row>
    <row r="601" spans="1:1" x14ac:dyDescent="0.25">
      <c r="A601" s="10">
        <v>44488</v>
      </c>
    </row>
    <row r="602" spans="1:1" x14ac:dyDescent="0.25">
      <c r="A602" s="10">
        <v>44489</v>
      </c>
    </row>
    <row r="603" spans="1:1" x14ac:dyDescent="0.25">
      <c r="A603" s="10">
        <v>44490</v>
      </c>
    </row>
    <row r="604" spans="1:1" x14ac:dyDescent="0.25">
      <c r="A604" s="10">
        <v>44491</v>
      </c>
    </row>
    <row r="605" spans="1:1" x14ac:dyDescent="0.25">
      <c r="A605" s="10">
        <v>44492</v>
      </c>
    </row>
    <row r="606" spans="1:1" x14ac:dyDescent="0.25">
      <c r="A606" s="10">
        <v>44493</v>
      </c>
    </row>
    <row r="607" spans="1:1" x14ac:dyDescent="0.25">
      <c r="A607" s="10">
        <v>44494</v>
      </c>
    </row>
    <row r="608" spans="1:1" x14ac:dyDescent="0.25">
      <c r="A608" s="10">
        <v>44495</v>
      </c>
    </row>
    <row r="609" spans="1:1" x14ac:dyDescent="0.25">
      <c r="A609" s="10">
        <v>44496</v>
      </c>
    </row>
    <row r="610" spans="1:1" x14ac:dyDescent="0.25">
      <c r="A610" s="10">
        <v>44497</v>
      </c>
    </row>
    <row r="611" spans="1:1" x14ac:dyDescent="0.25">
      <c r="A611" s="10">
        <v>44498</v>
      </c>
    </row>
    <row r="612" spans="1:1" x14ac:dyDescent="0.25">
      <c r="A612" s="10">
        <v>44499</v>
      </c>
    </row>
    <row r="613" spans="1:1" x14ac:dyDescent="0.25">
      <c r="A613" s="10">
        <v>44500</v>
      </c>
    </row>
    <row r="614" spans="1:1" x14ac:dyDescent="0.25">
      <c r="A614" s="9" t="s">
        <v>84</v>
      </c>
    </row>
    <row r="615" spans="1:1" x14ac:dyDescent="0.25">
      <c r="A615" s="10">
        <v>44501</v>
      </c>
    </row>
    <row r="616" spans="1:1" x14ac:dyDescent="0.25">
      <c r="A616" s="10">
        <v>44502</v>
      </c>
    </row>
    <row r="617" spans="1:1" x14ac:dyDescent="0.25">
      <c r="A617" s="10">
        <v>44503</v>
      </c>
    </row>
    <row r="618" spans="1:1" x14ac:dyDescent="0.25">
      <c r="A618" s="10">
        <v>44504</v>
      </c>
    </row>
    <row r="619" spans="1:1" x14ac:dyDescent="0.25">
      <c r="A619" s="10">
        <v>44505</v>
      </c>
    </row>
    <row r="620" spans="1:1" x14ac:dyDescent="0.25">
      <c r="A620" s="10">
        <v>44506</v>
      </c>
    </row>
    <row r="621" spans="1:1" x14ac:dyDescent="0.25">
      <c r="A621" s="10">
        <v>44507</v>
      </c>
    </row>
    <row r="622" spans="1:1" x14ac:dyDescent="0.25">
      <c r="A622" s="10">
        <v>44508</v>
      </c>
    </row>
    <row r="623" spans="1:1" x14ac:dyDescent="0.25">
      <c r="A623" s="10">
        <v>44509</v>
      </c>
    </row>
    <row r="624" spans="1:1" x14ac:dyDescent="0.25">
      <c r="A624" s="10">
        <v>44510</v>
      </c>
    </row>
    <row r="625" spans="1:1" x14ac:dyDescent="0.25">
      <c r="A625" s="10">
        <v>44511</v>
      </c>
    </row>
    <row r="626" spans="1:1" x14ac:dyDescent="0.25">
      <c r="A626" s="10">
        <v>44512</v>
      </c>
    </row>
    <row r="627" spans="1:1" x14ac:dyDescent="0.25">
      <c r="A627" s="10">
        <v>44513</v>
      </c>
    </row>
    <row r="628" spans="1:1" x14ac:dyDescent="0.25">
      <c r="A628" s="10">
        <v>44514</v>
      </c>
    </row>
    <row r="629" spans="1:1" x14ac:dyDescent="0.25">
      <c r="A629" s="10">
        <v>44515</v>
      </c>
    </row>
    <row r="630" spans="1:1" x14ac:dyDescent="0.25">
      <c r="A630" s="10">
        <v>44516</v>
      </c>
    </row>
    <row r="631" spans="1:1" x14ac:dyDescent="0.25">
      <c r="A631" s="10">
        <v>44517</v>
      </c>
    </row>
    <row r="632" spans="1:1" x14ac:dyDescent="0.25">
      <c r="A632" s="10">
        <v>44518</v>
      </c>
    </row>
    <row r="633" spans="1:1" x14ac:dyDescent="0.25">
      <c r="A633" s="10">
        <v>44519</v>
      </c>
    </row>
    <row r="634" spans="1:1" x14ac:dyDescent="0.25">
      <c r="A634" s="10">
        <v>44520</v>
      </c>
    </row>
    <row r="635" spans="1:1" x14ac:dyDescent="0.25">
      <c r="A635" s="10">
        <v>44521</v>
      </c>
    </row>
    <row r="636" spans="1:1" x14ac:dyDescent="0.25">
      <c r="A636" s="10">
        <v>44522</v>
      </c>
    </row>
    <row r="637" spans="1:1" x14ac:dyDescent="0.25">
      <c r="A637" s="10">
        <v>44523</v>
      </c>
    </row>
    <row r="638" spans="1:1" x14ac:dyDescent="0.25">
      <c r="A638" s="10">
        <v>44524</v>
      </c>
    </row>
    <row r="639" spans="1:1" x14ac:dyDescent="0.25">
      <c r="A639" s="10">
        <v>44525</v>
      </c>
    </row>
    <row r="640" spans="1:1" x14ac:dyDescent="0.25">
      <c r="A640" s="10">
        <v>44526</v>
      </c>
    </row>
    <row r="641" spans="1:1" x14ac:dyDescent="0.25">
      <c r="A641" s="10">
        <v>44527</v>
      </c>
    </row>
    <row r="642" spans="1:1" x14ac:dyDescent="0.25">
      <c r="A642" s="10">
        <v>44528</v>
      </c>
    </row>
    <row r="643" spans="1:1" x14ac:dyDescent="0.25">
      <c r="A643" s="10">
        <v>44529</v>
      </c>
    </row>
    <row r="644" spans="1:1" x14ac:dyDescent="0.25">
      <c r="A644" s="10">
        <v>44530</v>
      </c>
    </row>
    <row r="645" spans="1:1" x14ac:dyDescent="0.25">
      <c r="A645" s="9" t="s">
        <v>85</v>
      </c>
    </row>
    <row r="646" spans="1:1" x14ac:dyDescent="0.25">
      <c r="A646" s="10">
        <v>44531</v>
      </c>
    </row>
    <row r="647" spans="1:1" x14ac:dyDescent="0.25">
      <c r="A647" s="10">
        <v>44532</v>
      </c>
    </row>
    <row r="648" spans="1:1" x14ac:dyDescent="0.25">
      <c r="A648" s="10">
        <v>44533</v>
      </c>
    </row>
    <row r="649" spans="1:1" x14ac:dyDescent="0.25">
      <c r="A649" s="10">
        <v>44534</v>
      </c>
    </row>
    <row r="650" spans="1:1" x14ac:dyDescent="0.25">
      <c r="A650" s="10">
        <v>44535</v>
      </c>
    </row>
    <row r="651" spans="1:1" x14ac:dyDescent="0.25">
      <c r="A651" s="10">
        <v>44536</v>
      </c>
    </row>
    <row r="652" spans="1:1" x14ac:dyDescent="0.25">
      <c r="A652" s="10">
        <v>44537</v>
      </c>
    </row>
    <row r="653" spans="1:1" x14ac:dyDescent="0.25">
      <c r="A653" s="10">
        <v>44538</v>
      </c>
    </row>
    <row r="654" spans="1:1" x14ac:dyDescent="0.25">
      <c r="A654" s="10">
        <v>44539</v>
      </c>
    </row>
    <row r="655" spans="1:1" x14ac:dyDescent="0.25">
      <c r="A655" s="10">
        <v>44540</v>
      </c>
    </row>
    <row r="656" spans="1:1" x14ac:dyDescent="0.25">
      <c r="A656" s="10">
        <v>44541</v>
      </c>
    </row>
    <row r="657" spans="1:1" x14ac:dyDescent="0.25">
      <c r="A657" s="10">
        <v>44542</v>
      </c>
    </row>
    <row r="658" spans="1:1" x14ac:dyDescent="0.25">
      <c r="A658" s="10">
        <v>44543</v>
      </c>
    </row>
    <row r="659" spans="1:1" x14ac:dyDescent="0.25">
      <c r="A659" s="10">
        <v>44544</v>
      </c>
    </row>
    <row r="660" spans="1:1" x14ac:dyDescent="0.25">
      <c r="A660" s="10">
        <v>44545</v>
      </c>
    </row>
    <row r="661" spans="1:1" x14ac:dyDescent="0.25">
      <c r="A661" s="10">
        <v>44546</v>
      </c>
    </row>
    <row r="662" spans="1:1" x14ac:dyDescent="0.25">
      <c r="A662" s="10">
        <v>44547</v>
      </c>
    </row>
    <row r="663" spans="1:1" x14ac:dyDescent="0.25">
      <c r="A663" s="10">
        <v>44548</v>
      </c>
    </row>
    <row r="664" spans="1:1" x14ac:dyDescent="0.25">
      <c r="A664" s="10">
        <v>44549</v>
      </c>
    </row>
    <row r="665" spans="1:1" x14ac:dyDescent="0.25">
      <c r="A665" s="10">
        <v>44550</v>
      </c>
    </row>
    <row r="666" spans="1:1" x14ac:dyDescent="0.25">
      <c r="A666" s="10">
        <v>44551</v>
      </c>
    </row>
    <row r="667" spans="1:1" x14ac:dyDescent="0.25">
      <c r="A667" s="10">
        <v>44552</v>
      </c>
    </row>
    <row r="668" spans="1:1" x14ac:dyDescent="0.25">
      <c r="A668" s="10">
        <v>44553</v>
      </c>
    </row>
    <row r="669" spans="1:1" x14ac:dyDescent="0.25">
      <c r="A669" s="10">
        <v>44554</v>
      </c>
    </row>
    <row r="670" spans="1:1" x14ac:dyDescent="0.25">
      <c r="A670" s="10">
        <v>44555</v>
      </c>
    </row>
    <row r="671" spans="1:1" x14ac:dyDescent="0.25">
      <c r="A671" s="10">
        <v>44556</v>
      </c>
    </row>
    <row r="672" spans="1:1" x14ac:dyDescent="0.25">
      <c r="A672" s="10">
        <v>44557</v>
      </c>
    </row>
    <row r="673" spans="1:1" x14ac:dyDescent="0.25">
      <c r="A673" s="10">
        <v>44558</v>
      </c>
    </row>
    <row r="674" spans="1:1" x14ac:dyDescent="0.25">
      <c r="A674" s="10">
        <v>44559</v>
      </c>
    </row>
    <row r="675" spans="1:1" x14ac:dyDescent="0.25">
      <c r="A675" s="10">
        <v>44560</v>
      </c>
    </row>
    <row r="676" spans="1:1" x14ac:dyDescent="0.25">
      <c r="A676" s="10">
        <v>44561</v>
      </c>
    </row>
    <row r="677" spans="1:1" x14ac:dyDescent="0.25">
      <c r="A677" s="7" t="s">
        <v>72</v>
      </c>
    </row>
    <row r="678" spans="1:1" x14ac:dyDescent="0.25">
      <c r="A678" s="8" t="s">
        <v>87</v>
      </c>
    </row>
    <row r="679" spans="1:1" x14ac:dyDescent="0.25">
      <c r="A679" s="9" t="s">
        <v>88</v>
      </c>
    </row>
    <row r="680" spans="1:1" x14ac:dyDescent="0.25">
      <c r="A680" s="10">
        <v>44562</v>
      </c>
    </row>
    <row r="681" spans="1:1" x14ac:dyDescent="0.25">
      <c r="A681" s="10">
        <v>44563</v>
      </c>
    </row>
    <row r="682" spans="1:1" x14ac:dyDescent="0.25">
      <c r="A682" s="10">
        <v>44564</v>
      </c>
    </row>
    <row r="683" spans="1:1" x14ac:dyDescent="0.25">
      <c r="A683" s="10">
        <v>44565</v>
      </c>
    </row>
    <row r="684" spans="1:1" x14ac:dyDescent="0.25">
      <c r="A684" s="10">
        <v>44566</v>
      </c>
    </row>
    <row r="685" spans="1:1" x14ac:dyDescent="0.25">
      <c r="A685" s="10">
        <v>44567</v>
      </c>
    </row>
    <row r="686" spans="1:1" x14ac:dyDescent="0.25">
      <c r="A686" s="10">
        <v>44568</v>
      </c>
    </row>
    <row r="687" spans="1:1" x14ac:dyDescent="0.25">
      <c r="A687" s="10">
        <v>44569</v>
      </c>
    </row>
    <row r="688" spans="1:1" x14ac:dyDescent="0.25">
      <c r="A688" s="10">
        <v>44570</v>
      </c>
    </row>
    <row r="689" spans="1:1" x14ac:dyDescent="0.25">
      <c r="A689" s="10">
        <v>44571</v>
      </c>
    </row>
    <row r="690" spans="1:1" x14ac:dyDescent="0.25">
      <c r="A690" s="10">
        <v>44572</v>
      </c>
    </row>
    <row r="691" spans="1:1" x14ac:dyDescent="0.25">
      <c r="A691" s="10">
        <v>44573</v>
      </c>
    </row>
    <row r="692" spans="1:1" x14ac:dyDescent="0.25">
      <c r="A692" s="10">
        <v>44574</v>
      </c>
    </row>
    <row r="693" spans="1:1" x14ac:dyDescent="0.25">
      <c r="A693" s="10">
        <v>44575</v>
      </c>
    </row>
    <row r="694" spans="1:1" x14ac:dyDescent="0.25">
      <c r="A694" s="10">
        <v>44576</v>
      </c>
    </row>
    <row r="695" spans="1:1" x14ac:dyDescent="0.25">
      <c r="A695" s="10">
        <v>44577</v>
      </c>
    </row>
    <row r="696" spans="1:1" x14ac:dyDescent="0.25">
      <c r="A696" s="10">
        <v>44578</v>
      </c>
    </row>
    <row r="697" spans="1:1" x14ac:dyDescent="0.25">
      <c r="A697" s="10">
        <v>44579</v>
      </c>
    </row>
    <row r="698" spans="1:1" x14ac:dyDescent="0.25">
      <c r="A698" s="10">
        <v>44580</v>
      </c>
    </row>
    <row r="699" spans="1:1" x14ac:dyDescent="0.25">
      <c r="A699" s="10">
        <v>44581</v>
      </c>
    </row>
    <row r="700" spans="1:1" x14ac:dyDescent="0.25">
      <c r="A700" s="10">
        <v>44582</v>
      </c>
    </row>
    <row r="701" spans="1:1" x14ac:dyDescent="0.25">
      <c r="A701" s="10">
        <v>44583</v>
      </c>
    </row>
    <row r="702" spans="1:1" x14ac:dyDescent="0.25">
      <c r="A702" s="10">
        <v>44584</v>
      </c>
    </row>
    <row r="703" spans="1:1" x14ac:dyDescent="0.25">
      <c r="A703" s="10">
        <v>44585</v>
      </c>
    </row>
    <row r="704" spans="1:1" x14ac:dyDescent="0.25">
      <c r="A704" s="10">
        <v>44586</v>
      </c>
    </row>
    <row r="705" spans="1:1" x14ac:dyDescent="0.25">
      <c r="A705" s="10">
        <v>44587</v>
      </c>
    </row>
    <row r="706" spans="1:1" x14ac:dyDescent="0.25">
      <c r="A706" s="10">
        <v>44588</v>
      </c>
    </row>
    <row r="707" spans="1:1" x14ac:dyDescent="0.25">
      <c r="A707" s="10">
        <v>44589</v>
      </c>
    </row>
    <row r="708" spans="1:1" x14ac:dyDescent="0.25">
      <c r="A708" s="10">
        <v>44590</v>
      </c>
    </row>
    <row r="709" spans="1:1" x14ac:dyDescent="0.25">
      <c r="A709" s="10">
        <v>44591</v>
      </c>
    </row>
    <row r="710" spans="1:1" x14ac:dyDescent="0.25">
      <c r="A710" s="10">
        <v>44592</v>
      </c>
    </row>
    <row r="711" spans="1:1" x14ac:dyDescent="0.25">
      <c r="A711" s="9" t="s">
        <v>89</v>
      </c>
    </row>
    <row r="712" spans="1:1" x14ac:dyDescent="0.25">
      <c r="A712" s="10">
        <v>44593</v>
      </c>
    </row>
    <row r="713" spans="1:1" x14ac:dyDescent="0.25">
      <c r="A713" s="10">
        <v>44594</v>
      </c>
    </row>
    <row r="714" spans="1:1" x14ac:dyDescent="0.25">
      <c r="A714" s="10">
        <v>44595</v>
      </c>
    </row>
    <row r="715" spans="1:1" x14ac:dyDescent="0.25">
      <c r="A715" s="10">
        <v>44596</v>
      </c>
    </row>
    <row r="716" spans="1:1" x14ac:dyDescent="0.25">
      <c r="A716" s="10">
        <v>44597</v>
      </c>
    </row>
    <row r="717" spans="1:1" x14ac:dyDescent="0.25">
      <c r="A717" s="10">
        <v>44598</v>
      </c>
    </row>
    <row r="718" spans="1:1" x14ac:dyDescent="0.25">
      <c r="A718" s="10">
        <v>44599</v>
      </c>
    </row>
    <row r="719" spans="1:1" x14ac:dyDescent="0.25">
      <c r="A719" s="10">
        <v>44600</v>
      </c>
    </row>
    <row r="720" spans="1:1" x14ac:dyDescent="0.25">
      <c r="A720" s="10">
        <v>44601</v>
      </c>
    </row>
    <row r="721" spans="1:1" x14ac:dyDescent="0.25">
      <c r="A721" s="10">
        <v>44602</v>
      </c>
    </row>
    <row r="722" spans="1:1" x14ac:dyDescent="0.25">
      <c r="A722" s="10">
        <v>44603</v>
      </c>
    </row>
    <row r="723" spans="1:1" x14ac:dyDescent="0.25">
      <c r="A723" s="10">
        <v>44604</v>
      </c>
    </row>
    <row r="724" spans="1:1" x14ac:dyDescent="0.25">
      <c r="A724" s="10">
        <v>44605</v>
      </c>
    </row>
    <row r="725" spans="1:1" x14ac:dyDescent="0.25">
      <c r="A725" s="10">
        <v>44606</v>
      </c>
    </row>
    <row r="726" spans="1:1" x14ac:dyDescent="0.25">
      <c r="A726" s="10">
        <v>44607</v>
      </c>
    </row>
    <row r="727" spans="1:1" x14ac:dyDescent="0.25">
      <c r="A727" s="10">
        <v>44608</v>
      </c>
    </row>
    <row r="728" spans="1:1" x14ac:dyDescent="0.25">
      <c r="A728" s="10">
        <v>44609</v>
      </c>
    </row>
    <row r="729" spans="1:1" x14ac:dyDescent="0.25">
      <c r="A729" s="10">
        <v>44610</v>
      </c>
    </row>
    <row r="730" spans="1:1" x14ac:dyDescent="0.25">
      <c r="A730" s="10">
        <v>44611</v>
      </c>
    </row>
    <row r="731" spans="1:1" x14ac:dyDescent="0.25">
      <c r="A731" s="10">
        <v>44612</v>
      </c>
    </row>
    <row r="732" spans="1:1" x14ac:dyDescent="0.25">
      <c r="A732" s="10">
        <v>44613</v>
      </c>
    </row>
    <row r="733" spans="1:1" x14ac:dyDescent="0.25">
      <c r="A733" s="10">
        <v>44614</v>
      </c>
    </row>
    <row r="734" spans="1:1" x14ac:dyDescent="0.25">
      <c r="A734" s="10">
        <v>44615</v>
      </c>
    </row>
    <row r="735" spans="1:1" x14ac:dyDescent="0.25">
      <c r="A735" s="10">
        <v>44616</v>
      </c>
    </row>
    <row r="736" spans="1:1" x14ac:dyDescent="0.25">
      <c r="A736" s="10">
        <v>44617</v>
      </c>
    </row>
    <row r="737" spans="1:1" x14ac:dyDescent="0.25">
      <c r="A737" s="10">
        <v>44618</v>
      </c>
    </row>
    <row r="738" spans="1:1" x14ac:dyDescent="0.25">
      <c r="A738" s="10">
        <v>44619</v>
      </c>
    </row>
    <row r="739" spans="1:1" x14ac:dyDescent="0.25">
      <c r="A739" s="10">
        <v>44620</v>
      </c>
    </row>
    <row r="740" spans="1:1" x14ac:dyDescent="0.25">
      <c r="A740" s="9" t="s">
        <v>90</v>
      </c>
    </row>
    <row r="741" spans="1:1" x14ac:dyDescent="0.25">
      <c r="A741" s="10">
        <v>44621</v>
      </c>
    </row>
    <row r="742" spans="1:1" x14ac:dyDescent="0.25">
      <c r="A742" s="10">
        <v>44622</v>
      </c>
    </row>
    <row r="743" spans="1:1" x14ac:dyDescent="0.25">
      <c r="A743" s="10">
        <v>44623</v>
      </c>
    </row>
    <row r="744" spans="1:1" x14ac:dyDescent="0.25">
      <c r="A744" s="10">
        <v>44624</v>
      </c>
    </row>
    <row r="745" spans="1:1" x14ac:dyDescent="0.25">
      <c r="A745" s="10">
        <v>44625</v>
      </c>
    </row>
    <row r="746" spans="1:1" x14ac:dyDescent="0.25">
      <c r="A746" s="10">
        <v>44626</v>
      </c>
    </row>
    <row r="747" spans="1:1" x14ac:dyDescent="0.25">
      <c r="A747" s="10">
        <v>44627</v>
      </c>
    </row>
    <row r="748" spans="1:1" x14ac:dyDescent="0.25">
      <c r="A748" s="10">
        <v>44628</v>
      </c>
    </row>
    <row r="749" spans="1:1" x14ac:dyDescent="0.25">
      <c r="A749" s="10">
        <v>44629</v>
      </c>
    </row>
    <row r="750" spans="1:1" x14ac:dyDescent="0.25">
      <c r="A750" s="10">
        <v>44630</v>
      </c>
    </row>
    <row r="751" spans="1:1" x14ac:dyDescent="0.25">
      <c r="A751" s="10">
        <v>44631</v>
      </c>
    </row>
    <row r="752" spans="1:1" x14ac:dyDescent="0.25">
      <c r="A752" s="10">
        <v>44632</v>
      </c>
    </row>
    <row r="753" spans="1:1" x14ac:dyDescent="0.25">
      <c r="A753" s="10">
        <v>44633</v>
      </c>
    </row>
    <row r="754" spans="1:1" x14ac:dyDescent="0.25">
      <c r="A754" s="10">
        <v>44634</v>
      </c>
    </row>
    <row r="755" spans="1:1" x14ac:dyDescent="0.25">
      <c r="A755" s="10">
        <v>44635</v>
      </c>
    </row>
    <row r="756" spans="1:1" x14ac:dyDescent="0.25">
      <c r="A756" s="10">
        <v>44636</v>
      </c>
    </row>
    <row r="757" spans="1:1" x14ac:dyDescent="0.25">
      <c r="A757" s="10">
        <v>44637</v>
      </c>
    </row>
    <row r="758" spans="1:1" x14ac:dyDescent="0.25">
      <c r="A758" s="10">
        <v>44638</v>
      </c>
    </row>
    <row r="759" spans="1:1" x14ac:dyDescent="0.25">
      <c r="A759" s="10">
        <v>44639</v>
      </c>
    </row>
    <row r="760" spans="1:1" x14ac:dyDescent="0.25">
      <c r="A760" s="10">
        <v>44640</v>
      </c>
    </row>
    <row r="761" spans="1:1" x14ac:dyDescent="0.25">
      <c r="A761" s="10">
        <v>44641</v>
      </c>
    </row>
    <row r="762" spans="1:1" x14ac:dyDescent="0.25">
      <c r="A762" s="10">
        <v>44642</v>
      </c>
    </row>
    <row r="763" spans="1:1" x14ac:dyDescent="0.25">
      <c r="A763" s="10">
        <v>44643</v>
      </c>
    </row>
    <row r="764" spans="1:1" x14ac:dyDescent="0.25">
      <c r="A764" s="10">
        <v>44644</v>
      </c>
    </row>
    <row r="765" spans="1:1" x14ac:dyDescent="0.25">
      <c r="A765" s="10">
        <v>44645</v>
      </c>
    </row>
    <row r="766" spans="1:1" x14ac:dyDescent="0.25">
      <c r="A766" s="10">
        <v>44646</v>
      </c>
    </row>
    <row r="767" spans="1:1" x14ac:dyDescent="0.25">
      <c r="A767" s="10">
        <v>44647</v>
      </c>
    </row>
    <row r="768" spans="1:1" x14ac:dyDescent="0.25">
      <c r="A768" s="10">
        <v>44648</v>
      </c>
    </row>
    <row r="769" spans="1:1" x14ac:dyDescent="0.25">
      <c r="A769" s="10">
        <v>44649</v>
      </c>
    </row>
    <row r="770" spans="1:1" x14ac:dyDescent="0.25">
      <c r="A770" s="10">
        <v>44650</v>
      </c>
    </row>
    <row r="771" spans="1:1" x14ac:dyDescent="0.25">
      <c r="A771" s="10">
        <v>44651</v>
      </c>
    </row>
    <row r="772" spans="1:1" x14ac:dyDescent="0.25">
      <c r="A772" s="8" t="s">
        <v>75</v>
      </c>
    </row>
    <row r="773" spans="1:1" x14ac:dyDescent="0.25">
      <c r="A773" s="9" t="s">
        <v>78</v>
      </c>
    </row>
    <row r="774" spans="1:1" x14ac:dyDescent="0.25">
      <c r="A774" s="10">
        <v>44652</v>
      </c>
    </row>
    <row r="775" spans="1:1" x14ac:dyDescent="0.25">
      <c r="A775" s="10">
        <v>44653</v>
      </c>
    </row>
    <row r="776" spans="1:1" x14ac:dyDescent="0.25">
      <c r="A776" s="10">
        <v>44654</v>
      </c>
    </row>
    <row r="777" spans="1:1" x14ac:dyDescent="0.25">
      <c r="A777" s="10">
        <v>44655</v>
      </c>
    </row>
    <row r="778" spans="1:1" x14ac:dyDescent="0.25">
      <c r="A778" s="10">
        <v>44656</v>
      </c>
    </row>
    <row r="779" spans="1:1" x14ac:dyDescent="0.25">
      <c r="A779" s="10">
        <v>44657</v>
      </c>
    </row>
    <row r="780" spans="1:1" x14ac:dyDescent="0.25">
      <c r="A780" s="10">
        <v>44658</v>
      </c>
    </row>
    <row r="781" spans="1:1" x14ac:dyDescent="0.25">
      <c r="A781" s="10">
        <v>44659</v>
      </c>
    </row>
    <row r="782" spans="1:1" x14ac:dyDescent="0.25">
      <c r="A782" s="10">
        <v>44660</v>
      </c>
    </row>
    <row r="783" spans="1:1" x14ac:dyDescent="0.25">
      <c r="A783" s="10">
        <v>44661</v>
      </c>
    </row>
    <row r="784" spans="1:1" x14ac:dyDescent="0.25">
      <c r="A784" s="10">
        <v>44662</v>
      </c>
    </row>
    <row r="785" spans="1:1" x14ac:dyDescent="0.25">
      <c r="A785" s="10">
        <v>44663</v>
      </c>
    </row>
    <row r="786" spans="1:1" x14ac:dyDescent="0.25">
      <c r="A786" s="10">
        <v>44664</v>
      </c>
    </row>
    <row r="787" spans="1:1" x14ac:dyDescent="0.25">
      <c r="A787" s="10">
        <v>44665</v>
      </c>
    </row>
    <row r="788" spans="1:1" x14ac:dyDescent="0.25">
      <c r="A788" s="10">
        <v>44666</v>
      </c>
    </row>
    <row r="789" spans="1:1" x14ac:dyDescent="0.25">
      <c r="A789" s="10">
        <v>44667</v>
      </c>
    </row>
    <row r="790" spans="1:1" x14ac:dyDescent="0.25">
      <c r="A790" s="10">
        <v>44668</v>
      </c>
    </row>
    <row r="791" spans="1:1" x14ac:dyDescent="0.25">
      <c r="A791" s="10">
        <v>44669</v>
      </c>
    </row>
    <row r="792" spans="1:1" x14ac:dyDescent="0.25">
      <c r="A792" s="10">
        <v>44670</v>
      </c>
    </row>
    <row r="793" spans="1:1" x14ac:dyDescent="0.25">
      <c r="A793" s="10">
        <v>44671</v>
      </c>
    </row>
    <row r="794" spans="1:1" x14ac:dyDescent="0.25">
      <c r="A794" s="10">
        <v>44672</v>
      </c>
    </row>
    <row r="795" spans="1:1" x14ac:dyDescent="0.25">
      <c r="A795" s="10">
        <v>44673</v>
      </c>
    </row>
    <row r="796" spans="1:1" x14ac:dyDescent="0.25">
      <c r="A796" s="10">
        <v>44674</v>
      </c>
    </row>
    <row r="797" spans="1:1" x14ac:dyDescent="0.25">
      <c r="A797" s="10">
        <v>44675</v>
      </c>
    </row>
    <row r="798" spans="1:1" x14ac:dyDescent="0.25">
      <c r="A798" s="10">
        <v>44676</v>
      </c>
    </row>
    <row r="799" spans="1:1" x14ac:dyDescent="0.25">
      <c r="A799" s="10">
        <v>44677</v>
      </c>
    </row>
    <row r="800" spans="1:1" x14ac:dyDescent="0.25">
      <c r="A800" s="10">
        <v>44678</v>
      </c>
    </row>
    <row r="801" spans="1:1" x14ac:dyDescent="0.25">
      <c r="A801" s="10">
        <v>44679</v>
      </c>
    </row>
    <row r="802" spans="1:1" x14ac:dyDescent="0.25">
      <c r="A802" s="10">
        <v>44680</v>
      </c>
    </row>
    <row r="803" spans="1:1" x14ac:dyDescent="0.25">
      <c r="A803" s="10">
        <v>44681</v>
      </c>
    </row>
    <row r="804" spans="1:1" x14ac:dyDescent="0.25">
      <c r="A804" s="9" t="s">
        <v>53</v>
      </c>
    </row>
    <row r="805" spans="1:1" x14ac:dyDescent="0.25">
      <c r="A805" s="10">
        <v>44682</v>
      </c>
    </row>
    <row r="806" spans="1:1" x14ac:dyDescent="0.25">
      <c r="A806" s="10">
        <v>44683</v>
      </c>
    </row>
    <row r="807" spans="1:1" x14ac:dyDescent="0.25">
      <c r="A807" s="10">
        <v>44684</v>
      </c>
    </row>
    <row r="808" spans="1:1" x14ac:dyDescent="0.25">
      <c r="A808" s="10">
        <v>44685</v>
      </c>
    </row>
    <row r="809" spans="1:1" x14ac:dyDescent="0.25">
      <c r="A809" s="10">
        <v>44686</v>
      </c>
    </row>
    <row r="810" spans="1:1" x14ac:dyDescent="0.25">
      <c r="A810" s="10">
        <v>44687</v>
      </c>
    </row>
    <row r="811" spans="1:1" x14ac:dyDescent="0.25">
      <c r="A811" s="10">
        <v>44688</v>
      </c>
    </row>
    <row r="812" spans="1:1" x14ac:dyDescent="0.25">
      <c r="A812" s="10">
        <v>44689</v>
      </c>
    </row>
    <row r="813" spans="1:1" x14ac:dyDescent="0.25">
      <c r="A813" s="10">
        <v>44690</v>
      </c>
    </row>
    <row r="814" spans="1:1" x14ac:dyDescent="0.25">
      <c r="A814" s="10">
        <v>44691</v>
      </c>
    </row>
    <row r="815" spans="1:1" x14ac:dyDescent="0.25">
      <c r="A815" s="10">
        <v>44692</v>
      </c>
    </row>
    <row r="816" spans="1:1" x14ac:dyDescent="0.25">
      <c r="A816" s="10">
        <v>44693</v>
      </c>
    </row>
    <row r="817" spans="1:1" x14ac:dyDescent="0.25">
      <c r="A817" s="10">
        <v>44694</v>
      </c>
    </row>
    <row r="818" spans="1:1" x14ac:dyDescent="0.25">
      <c r="A818" s="10">
        <v>44695</v>
      </c>
    </row>
    <row r="819" spans="1:1" x14ac:dyDescent="0.25">
      <c r="A819" s="10">
        <v>44696</v>
      </c>
    </row>
    <row r="820" spans="1:1" x14ac:dyDescent="0.25">
      <c r="A820" s="10">
        <v>44697</v>
      </c>
    </row>
    <row r="821" spans="1:1" x14ac:dyDescent="0.25">
      <c r="A821" s="10">
        <v>44698</v>
      </c>
    </row>
    <row r="822" spans="1:1" x14ac:dyDescent="0.25">
      <c r="A822" s="10">
        <v>44699</v>
      </c>
    </row>
    <row r="823" spans="1:1" x14ac:dyDescent="0.25">
      <c r="A823" s="10">
        <v>44700</v>
      </c>
    </row>
    <row r="824" spans="1:1" x14ac:dyDescent="0.25">
      <c r="A824" s="10">
        <v>44701</v>
      </c>
    </row>
    <row r="825" spans="1:1" x14ac:dyDescent="0.25">
      <c r="A825" s="10">
        <v>44702</v>
      </c>
    </row>
    <row r="826" spans="1:1" x14ac:dyDescent="0.25">
      <c r="A826" s="10">
        <v>44703</v>
      </c>
    </row>
    <row r="827" spans="1:1" x14ac:dyDescent="0.25">
      <c r="A827" s="10">
        <v>44704</v>
      </c>
    </row>
    <row r="828" spans="1:1" x14ac:dyDescent="0.25">
      <c r="A828" s="10">
        <v>44705</v>
      </c>
    </row>
    <row r="829" spans="1:1" x14ac:dyDescent="0.25">
      <c r="A829" s="10">
        <v>44706</v>
      </c>
    </row>
    <row r="830" spans="1:1" x14ac:dyDescent="0.25">
      <c r="A830" s="10">
        <v>44707</v>
      </c>
    </row>
    <row r="831" spans="1:1" x14ac:dyDescent="0.25">
      <c r="A831" s="10">
        <v>44708</v>
      </c>
    </row>
    <row r="832" spans="1:1" x14ac:dyDescent="0.25">
      <c r="A832" s="10">
        <v>44709</v>
      </c>
    </row>
    <row r="833" spans="1:1" x14ac:dyDescent="0.25">
      <c r="A833" s="10">
        <v>44710</v>
      </c>
    </row>
    <row r="834" spans="1:1" x14ac:dyDescent="0.25">
      <c r="A834" s="10">
        <v>44711</v>
      </c>
    </row>
    <row r="835" spans="1:1" x14ac:dyDescent="0.25">
      <c r="A835" s="10">
        <v>44712</v>
      </c>
    </row>
    <row r="836" spans="1:1" x14ac:dyDescent="0.25">
      <c r="A836" s="9" t="s">
        <v>79</v>
      </c>
    </row>
    <row r="837" spans="1:1" x14ac:dyDescent="0.25">
      <c r="A837" s="10">
        <v>44713</v>
      </c>
    </row>
    <row r="838" spans="1:1" x14ac:dyDescent="0.25">
      <c r="A838" s="10">
        <v>44714</v>
      </c>
    </row>
    <row r="839" spans="1:1" x14ac:dyDescent="0.25">
      <c r="A839" s="10">
        <v>44715</v>
      </c>
    </row>
    <row r="840" spans="1:1" x14ac:dyDescent="0.25">
      <c r="A840" s="10">
        <v>44716</v>
      </c>
    </row>
    <row r="841" spans="1:1" x14ac:dyDescent="0.25">
      <c r="A841" s="10">
        <v>44717</v>
      </c>
    </row>
    <row r="842" spans="1:1" x14ac:dyDescent="0.25">
      <c r="A842" s="10">
        <v>44718</v>
      </c>
    </row>
    <row r="843" spans="1:1" x14ac:dyDescent="0.25">
      <c r="A843" s="10">
        <v>44719</v>
      </c>
    </row>
    <row r="844" spans="1:1" x14ac:dyDescent="0.25">
      <c r="A844" s="10">
        <v>44720</v>
      </c>
    </row>
    <row r="845" spans="1:1" x14ac:dyDescent="0.25">
      <c r="A845" s="10">
        <v>44721</v>
      </c>
    </row>
    <row r="846" spans="1:1" x14ac:dyDescent="0.25">
      <c r="A846" s="10">
        <v>44722</v>
      </c>
    </row>
    <row r="847" spans="1:1" x14ac:dyDescent="0.25">
      <c r="A847" s="10">
        <v>44723</v>
      </c>
    </row>
    <row r="848" spans="1:1" x14ac:dyDescent="0.25">
      <c r="A848" s="10">
        <v>44724</v>
      </c>
    </row>
    <row r="849" spans="1:1" x14ac:dyDescent="0.25">
      <c r="A849" s="10">
        <v>44725</v>
      </c>
    </row>
    <row r="850" spans="1:1" x14ac:dyDescent="0.25">
      <c r="A850" s="10">
        <v>44726</v>
      </c>
    </row>
    <row r="851" spans="1:1" x14ac:dyDescent="0.25">
      <c r="A851" s="10">
        <v>44727</v>
      </c>
    </row>
    <row r="852" spans="1:1" x14ac:dyDescent="0.25">
      <c r="A852" s="10">
        <v>44728</v>
      </c>
    </row>
    <row r="853" spans="1:1" x14ac:dyDescent="0.25">
      <c r="A853" s="10">
        <v>44729</v>
      </c>
    </row>
    <row r="854" spans="1:1" x14ac:dyDescent="0.25">
      <c r="A854" s="10">
        <v>44730</v>
      </c>
    </row>
    <row r="855" spans="1:1" x14ac:dyDescent="0.25">
      <c r="A855" s="10">
        <v>44731</v>
      </c>
    </row>
    <row r="856" spans="1:1" x14ac:dyDescent="0.25">
      <c r="A856" s="10">
        <v>44732</v>
      </c>
    </row>
    <row r="857" spans="1:1" x14ac:dyDescent="0.25">
      <c r="A857" s="10">
        <v>44733</v>
      </c>
    </row>
    <row r="858" spans="1:1" x14ac:dyDescent="0.25">
      <c r="A858" s="10">
        <v>44734</v>
      </c>
    </row>
    <row r="859" spans="1:1" x14ac:dyDescent="0.25">
      <c r="A859" s="10">
        <v>44735</v>
      </c>
    </row>
    <row r="860" spans="1:1" x14ac:dyDescent="0.25">
      <c r="A860" s="10">
        <v>44736</v>
      </c>
    </row>
    <row r="861" spans="1:1" x14ac:dyDescent="0.25">
      <c r="A861" s="10">
        <v>44737</v>
      </c>
    </row>
    <row r="862" spans="1:1" x14ac:dyDescent="0.25">
      <c r="A862" s="10">
        <v>44738</v>
      </c>
    </row>
    <row r="863" spans="1:1" x14ac:dyDescent="0.25">
      <c r="A863" s="10">
        <v>44739</v>
      </c>
    </row>
    <row r="864" spans="1:1" x14ac:dyDescent="0.25">
      <c r="A864" s="10">
        <v>44740</v>
      </c>
    </row>
    <row r="865" spans="1:1" x14ac:dyDescent="0.25">
      <c r="A865" s="10">
        <v>44741</v>
      </c>
    </row>
    <row r="866" spans="1:1" x14ac:dyDescent="0.25">
      <c r="A866" s="10">
        <v>44742</v>
      </c>
    </row>
    <row r="867" spans="1:1" x14ac:dyDescent="0.25">
      <c r="A867" s="8" t="s">
        <v>76</v>
      </c>
    </row>
    <row r="868" spans="1:1" x14ac:dyDescent="0.25">
      <c r="A868" s="9" t="s">
        <v>80</v>
      </c>
    </row>
    <row r="869" spans="1:1" x14ac:dyDescent="0.25">
      <c r="A869" s="10">
        <v>44743</v>
      </c>
    </row>
    <row r="870" spans="1:1" x14ac:dyDescent="0.25">
      <c r="A870" s="10">
        <v>44744</v>
      </c>
    </row>
    <row r="871" spans="1:1" x14ac:dyDescent="0.25">
      <c r="A871" s="10">
        <v>44745</v>
      </c>
    </row>
    <row r="872" spans="1:1" x14ac:dyDescent="0.25">
      <c r="A872" s="10">
        <v>44746</v>
      </c>
    </row>
    <row r="873" spans="1:1" x14ac:dyDescent="0.25">
      <c r="A873" s="10">
        <v>44747</v>
      </c>
    </row>
    <row r="874" spans="1:1" x14ac:dyDescent="0.25">
      <c r="A874" s="10">
        <v>44748</v>
      </c>
    </row>
    <row r="875" spans="1:1" x14ac:dyDescent="0.25">
      <c r="A875" s="10">
        <v>44749</v>
      </c>
    </row>
    <row r="876" spans="1:1" x14ac:dyDescent="0.25">
      <c r="A876" s="10">
        <v>44750</v>
      </c>
    </row>
    <row r="877" spans="1:1" x14ac:dyDescent="0.25">
      <c r="A877" s="10">
        <v>44751</v>
      </c>
    </row>
    <row r="878" spans="1:1" x14ac:dyDescent="0.25">
      <c r="A878" s="10">
        <v>44752</v>
      </c>
    </row>
    <row r="879" spans="1:1" x14ac:dyDescent="0.25">
      <c r="A879" s="10">
        <v>44753</v>
      </c>
    </row>
    <row r="880" spans="1:1" x14ac:dyDescent="0.25">
      <c r="A880" s="10">
        <v>44754</v>
      </c>
    </row>
    <row r="881" spans="1:1" x14ac:dyDescent="0.25">
      <c r="A881" s="10">
        <v>44755</v>
      </c>
    </row>
    <row r="882" spans="1:1" x14ac:dyDescent="0.25">
      <c r="A882" s="10">
        <v>44756</v>
      </c>
    </row>
    <row r="883" spans="1:1" x14ac:dyDescent="0.25">
      <c r="A883" s="10">
        <v>44757</v>
      </c>
    </row>
    <row r="884" spans="1:1" x14ac:dyDescent="0.25">
      <c r="A884" s="10">
        <v>44758</v>
      </c>
    </row>
    <row r="885" spans="1:1" x14ac:dyDescent="0.25">
      <c r="A885" s="10">
        <v>44759</v>
      </c>
    </row>
    <row r="886" spans="1:1" x14ac:dyDescent="0.25">
      <c r="A886" s="10">
        <v>44760</v>
      </c>
    </row>
    <row r="887" spans="1:1" x14ac:dyDescent="0.25">
      <c r="A887" s="10">
        <v>44761</v>
      </c>
    </row>
    <row r="888" spans="1:1" x14ac:dyDescent="0.25">
      <c r="A888" s="10">
        <v>44762</v>
      </c>
    </row>
    <row r="889" spans="1:1" x14ac:dyDescent="0.25">
      <c r="A889" s="10">
        <v>44763</v>
      </c>
    </row>
    <row r="890" spans="1:1" x14ac:dyDescent="0.25">
      <c r="A890" s="10">
        <v>44764</v>
      </c>
    </row>
    <row r="891" spans="1:1" x14ac:dyDescent="0.25">
      <c r="A891" s="10">
        <v>44765</v>
      </c>
    </row>
    <row r="892" spans="1:1" x14ac:dyDescent="0.25">
      <c r="A892" s="10">
        <v>44766</v>
      </c>
    </row>
    <row r="893" spans="1:1" x14ac:dyDescent="0.25">
      <c r="A893" s="10">
        <v>44767</v>
      </c>
    </row>
    <row r="894" spans="1:1" x14ac:dyDescent="0.25">
      <c r="A894" s="10">
        <v>44768</v>
      </c>
    </row>
    <row r="895" spans="1:1" x14ac:dyDescent="0.25">
      <c r="A895" s="10">
        <v>44769</v>
      </c>
    </row>
    <row r="896" spans="1:1" x14ac:dyDescent="0.25">
      <c r="A896" s="10">
        <v>44770</v>
      </c>
    </row>
    <row r="897" spans="1:1" x14ac:dyDescent="0.25">
      <c r="A897" s="10">
        <v>44771</v>
      </c>
    </row>
    <row r="898" spans="1:1" x14ac:dyDescent="0.25">
      <c r="A898" s="10">
        <v>44772</v>
      </c>
    </row>
    <row r="899" spans="1:1" x14ac:dyDescent="0.25">
      <c r="A899" s="10">
        <v>44773</v>
      </c>
    </row>
    <row r="900" spans="1:1" x14ac:dyDescent="0.25">
      <c r="A900" s="9" t="s">
        <v>81</v>
      </c>
    </row>
    <row r="901" spans="1:1" x14ac:dyDescent="0.25">
      <c r="A901" s="10">
        <v>44774</v>
      </c>
    </row>
    <row r="902" spans="1:1" x14ac:dyDescent="0.25">
      <c r="A902" s="10">
        <v>44775</v>
      </c>
    </row>
    <row r="903" spans="1:1" x14ac:dyDescent="0.25">
      <c r="A903" s="10">
        <v>44776</v>
      </c>
    </row>
    <row r="904" spans="1:1" x14ac:dyDescent="0.25">
      <c r="A904" s="10">
        <v>44777</v>
      </c>
    </row>
    <row r="905" spans="1:1" x14ac:dyDescent="0.25">
      <c r="A905" s="10">
        <v>44778</v>
      </c>
    </row>
    <row r="906" spans="1:1" x14ac:dyDescent="0.25">
      <c r="A906" s="10">
        <v>44779</v>
      </c>
    </row>
    <row r="907" spans="1:1" x14ac:dyDescent="0.25">
      <c r="A907" s="10">
        <v>44780</v>
      </c>
    </row>
    <row r="908" spans="1:1" x14ac:dyDescent="0.25">
      <c r="A908" s="10">
        <v>44781</v>
      </c>
    </row>
    <row r="909" spans="1:1" x14ac:dyDescent="0.25">
      <c r="A909" s="10">
        <v>44782</v>
      </c>
    </row>
    <row r="910" spans="1:1" x14ac:dyDescent="0.25">
      <c r="A910" s="10">
        <v>44783</v>
      </c>
    </row>
    <row r="911" spans="1:1" x14ac:dyDescent="0.25">
      <c r="A911" s="10">
        <v>44784</v>
      </c>
    </row>
    <row r="912" spans="1:1" x14ac:dyDescent="0.25">
      <c r="A912" s="10">
        <v>44785</v>
      </c>
    </row>
    <row r="913" spans="1:1" x14ac:dyDescent="0.25">
      <c r="A913" s="10">
        <v>44786</v>
      </c>
    </row>
    <row r="914" spans="1:1" x14ac:dyDescent="0.25">
      <c r="A914" s="10">
        <v>44787</v>
      </c>
    </row>
    <row r="915" spans="1:1" x14ac:dyDescent="0.25">
      <c r="A915" s="10">
        <v>44788</v>
      </c>
    </row>
    <row r="916" spans="1:1" x14ac:dyDescent="0.25">
      <c r="A916" s="10">
        <v>44789</v>
      </c>
    </row>
    <row r="917" spans="1:1" x14ac:dyDescent="0.25">
      <c r="A917" s="10">
        <v>44790</v>
      </c>
    </row>
    <row r="918" spans="1:1" x14ac:dyDescent="0.25">
      <c r="A918" s="10">
        <v>44791</v>
      </c>
    </row>
    <row r="919" spans="1:1" x14ac:dyDescent="0.25">
      <c r="A919" s="10">
        <v>44792</v>
      </c>
    </row>
    <row r="920" spans="1:1" x14ac:dyDescent="0.25">
      <c r="A920" s="10">
        <v>44793</v>
      </c>
    </row>
    <row r="921" spans="1:1" x14ac:dyDescent="0.25">
      <c r="A921" s="10">
        <v>44794</v>
      </c>
    </row>
    <row r="922" spans="1:1" x14ac:dyDescent="0.25">
      <c r="A922" s="10">
        <v>44795</v>
      </c>
    </row>
    <row r="923" spans="1:1" x14ac:dyDescent="0.25">
      <c r="A923" s="10">
        <v>44796</v>
      </c>
    </row>
    <row r="924" spans="1:1" x14ac:dyDescent="0.25">
      <c r="A924" s="10">
        <v>44797</v>
      </c>
    </row>
    <row r="925" spans="1:1" x14ac:dyDescent="0.25">
      <c r="A925" s="10">
        <v>44798</v>
      </c>
    </row>
    <row r="926" spans="1:1" x14ac:dyDescent="0.25">
      <c r="A926" s="10">
        <v>44799</v>
      </c>
    </row>
    <row r="927" spans="1:1" x14ac:dyDescent="0.25">
      <c r="A927" s="10">
        <v>44800</v>
      </c>
    </row>
    <row r="928" spans="1:1" x14ac:dyDescent="0.25">
      <c r="A928" s="10">
        <v>44801</v>
      </c>
    </row>
    <row r="929" spans="1:1" x14ac:dyDescent="0.25">
      <c r="A929" s="10">
        <v>44802</v>
      </c>
    </row>
    <row r="930" spans="1:1" x14ac:dyDescent="0.25">
      <c r="A930" s="10">
        <v>44803</v>
      </c>
    </row>
    <row r="931" spans="1:1" x14ac:dyDescent="0.25">
      <c r="A931" s="10">
        <v>44804</v>
      </c>
    </row>
    <row r="932" spans="1:1" x14ac:dyDescent="0.25">
      <c r="A932" s="9" t="s">
        <v>82</v>
      </c>
    </row>
    <row r="933" spans="1:1" x14ac:dyDescent="0.25">
      <c r="A933" s="10">
        <v>44805</v>
      </c>
    </row>
    <row r="934" spans="1:1" x14ac:dyDescent="0.25">
      <c r="A934" s="10">
        <v>44806</v>
      </c>
    </row>
    <row r="935" spans="1:1" x14ac:dyDescent="0.25">
      <c r="A935" s="10">
        <v>44807</v>
      </c>
    </row>
    <row r="936" spans="1:1" x14ac:dyDescent="0.25">
      <c r="A936" s="10">
        <v>44808</v>
      </c>
    </row>
    <row r="937" spans="1:1" x14ac:dyDescent="0.25">
      <c r="A937" s="10">
        <v>44809</v>
      </c>
    </row>
    <row r="938" spans="1:1" x14ac:dyDescent="0.25">
      <c r="A938" s="10">
        <v>44810</v>
      </c>
    </row>
    <row r="939" spans="1:1" x14ac:dyDescent="0.25">
      <c r="A939" s="10">
        <v>44811</v>
      </c>
    </row>
    <row r="940" spans="1:1" x14ac:dyDescent="0.25">
      <c r="A940" s="10">
        <v>44812</v>
      </c>
    </row>
    <row r="941" spans="1:1" x14ac:dyDescent="0.25">
      <c r="A941" s="10">
        <v>44813</v>
      </c>
    </row>
    <row r="942" spans="1:1" x14ac:dyDescent="0.25">
      <c r="A942" s="10">
        <v>44814</v>
      </c>
    </row>
    <row r="943" spans="1:1" x14ac:dyDescent="0.25">
      <c r="A943" s="10">
        <v>44815</v>
      </c>
    </row>
    <row r="944" spans="1:1" x14ac:dyDescent="0.25">
      <c r="A944" s="10">
        <v>44816</v>
      </c>
    </row>
    <row r="945" spans="1:1" x14ac:dyDescent="0.25">
      <c r="A945" s="10">
        <v>44817</v>
      </c>
    </row>
    <row r="946" spans="1:1" x14ac:dyDescent="0.25">
      <c r="A946" s="10">
        <v>44818</v>
      </c>
    </row>
    <row r="947" spans="1:1" x14ac:dyDescent="0.25">
      <c r="A947" s="10">
        <v>44819</v>
      </c>
    </row>
    <row r="948" spans="1:1" x14ac:dyDescent="0.25">
      <c r="A948" s="10">
        <v>44820</v>
      </c>
    </row>
    <row r="949" spans="1:1" x14ac:dyDescent="0.25">
      <c r="A949" s="10">
        <v>44821</v>
      </c>
    </row>
    <row r="950" spans="1:1" x14ac:dyDescent="0.25">
      <c r="A950" s="10">
        <v>44822</v>
      </c>
    </row>
    <row r="951" spans="1:1" x14ac:dyDescent="0.25">
      <c r="A951" s="10">
        <v>44823</v>
      </c>
    </row>
    <row r="952" spans="1:1" x14ac:dyDescent="0.25">
      <c r="A952" s="10">
        <v>44824</v>
      </c>
    </row>
    <row r="953" spans="1:1" x14ac:dyDescent="0.25">
      <c r="A953" s="10">
        <v>44825</v>
      </c>
    </row>
    <row r="954" spans="1:1" x14ac:dyDescent="0.25">
      <c r="A954" s="10">
        <v>44826</v>
      </c>
    </row>
    <row r="955" spans="1:1" x14ac:dyDescent="0.25">
      <c r="A955" s="10">
        <v>44827</v>
      </c>
    </row>
    <row r="956" spans="1:1" x14ac:dyDescent="0.25">
      <c r="A956" s="10">
        <v>44828</v>
      </c>
    </row>
    <row r="957" spans="1:1" x14ac:dyDescent="0.25">
      <c r="A957" s="10">
        <v>44829</v>
      </c>
    </row>
    <row r="958" spans="1:1" x14ac:dyDescent="0.25">
      <c r="A958" s="10">
        <v>44830</v>
      </c>
    </row>
    <row r="959" spans="1:1" x14ac:dyDescent="0.25">
      <c r="A959" s="10">
        <v>44831</v>
      </c>
    </row>
    <row r="960" spans="1:1" x14ac:dyDescent="0.25">
      <c r="A960" s="10">
        <v>44832</v>
      </c>
    </row>
    <row r="961" spans="1:1" x14ac:dyDescent="0.25">
      <c r="A961" s="10">
        <v>44833</v>
      </c>
    </row>
    <row r="962" spans="1:1" x14ac:dyDescent="0.25">
      <c r="A962" s="10">
        <v>44834</v>
      </c>
    </row>
    <row r="963" spans="1:1" x14ac:dyDescent="0.25">
      <c r="A963" s="8" t="s">
        <v>77</v>
      </c>
    </row>
    <row r="964" spans="1:1" x14ac:dyDescent="0.25">
      <c r="A964" s="9" t="s">
        <v>83</v>
      </c>
    </row>
    <row r="965" spans="1:1" x14ac:dyDescent="0.25">
      <c r="A965" s="10">
        <v>44835</v>
      </c>
    </row>
    <row r="966" spans="1:1" x14ac:dyDescent="0.25">
      <c r="A966" s="10">
        <v>44836</v>
      </c>
    </row>
    <row r="967" spans="1:1" x14ac:dyDescent="0.25">
      <c r="A967" s="10">
        <v>44837</v>
      </c>
    </row>
    <row r="968" spans="1:1" x14ac:dyDescent="0.25">
      <c r="A968" s="10">
        <v>44838</v>
      </c>
    </row>
    <row r="969" spans="1:1" x14ac:dyDescent="0.25">
      <c r="A969" s="10">
        <v>44839</v>
      </c>
    </row>
    <row r="970" spans="1:1" x14ac:dyDescent="0.25">
      <c r="A970" s="10">
        <v>44840</v>
      </c>
    </row>
    <row r="971" spans="1:1" x14ac:dyDescent="0.25">
      <c r="A971" s="10">
        <v>44841</v>
      </c>
    </row>
    <row r="972" spans="1:1" x14ac:dyDescent="0.25">
      <c r="A972" s="10">
        <v>44842</v>
      </c>
    </row>
    <row r="973" spans="1:1" x14ac:dyDescent="0.25">
      <c r="A973" s="10">
        <v>44843</v>
      </c>
    </row>
    <row r="974" spans="1:1" x14ac:dyDescent="0.25">
      <c r="A974" s="10">
        <v>44844</v>
      </c>
    </row>
    <row r="975" spans="1:1" x14ac:dyDescent="0.25">
      <c r="A975" s="10">
        <v>44845</v>
      </c>
    </row>
    <row r="976" spans="1:1" x14ac:dyDescent="0.25">
      <c r="A976" s="10">
        <v>44846</v>
      </c>
    </row>
    <row r="977" spans="1:1" x14ac:dyDescent="0.25">
      <c r="A977" s="10">
        <v>44847</v>
      </c>
    </row>
    <row r="978" spans="1:1" x14ac:dyDescent="0.25">
      <c r="A978" s="10">
        <v>44848</v>
      </c>
    </row>
    <row r="979" spans="1:1" x14ac:dyDescent="0.25">
      <c r="A979" s="10">
        <v>44849</v>
      </c>
    </row>
    <row r="980" spans="1:1" x14ac:dyDescent="0.25">
      <c r="A980" s="10">
        <v>44850</v>
      </c>
    </row>
    <row r="981" spans="1:1" x14ac:dyDescent="0.25">
      <c r="A981" s="10">
        <v>44851</v>
      </c>
    </row>
    <row r="982" spans="1:1" x14ac:dyDescent="0.25">
      <c r="A982" s="10">
        <v>44852</v>
      </c>
    </row>
    <row r="983" spans="1:1" x14ac:dyDescent="0.25">
      <c r="A983" s="10">
        <v>44853</v>
      </c>
    </row>
    <row r="984" spans="1:1" x14ac:dyDescent="0.25">
      <c r="A984" s="10">
        <v>44854</v>
      </c>
    </row>
    <row r="985" spans="1:1" x14ac:dyDescent="0.25">
      <c r="A985" s="10">
        <v>44855</v>
      </c>
    </row>
    <row r="986" spans="1:1" x14ac:dyDescent="0.25">
      <c r="A986" s="10">
        <v>44856</v>
      </c>
    </row>
    <row r="987" spans="1:1" x14ac:dyDescent="0.25">
      <c r="A987" s="10">
        <v>44857</v>
      </c>
    </row>
    <row r="988" spans="1:1" x14ac:dyDescent="0.25">
      <c r="A988" s="10">
        <v>44858</v>
      </c>
    </row>
    <row r="989" spans="1:1" x14ac:dyDescent="0.25">
      <c r="A989" s="10">
        <v>44859</v>
      </c>
    </row>
    <row r="990" spans="1:1" x14ac:dyDescent="0.25">
      <c r="A990" s="10">
        <v>44860</v>
      </c>
    </row>
    <row r="991" spans="1:1" x14ac:dyDescent="0.25">
      <c r="A991" s="10">
        <v>44861</v>
      </c>
    </row>
    <row r="992" spans="1:1" x14ac:dyDescent="0.25">
      <c r="A992" s="10">
        <v>44862</v>
      </c>
    </row>
    <row r="993" spans="1:1" x14ac:dyDescent="0.25">
      <c r="A993" s="10">
        <v>44863</v>
      </c>
    </row>
    <row r="994" spans="1:1" x14ac:dyDescent="0.25">
      <c r="A994" s="10">
        <v>44864</v>
      </c>
    </row>
    <row r="995" spans="1:1" x14ac:dyDescent="0.25">
      <c r="A995" s="10">
        <v>44865</v>
      </c>
    </row>
    <row r="996" spans="1:1" x14ac:dyDescent="0.25">
      <c r="A996" s="9" t="s">
        <v>84</v>
      </c>
    </row>
    <row r="997" spans="1:1" x14ac:dyDescent="0.25">
      <c r="A997" s="10">
        <v>44866</v>
      </c>
    </row>
    <row r="998" spans="1:1" x14ac:dyDescent="0.25">
      <c r="A998" s="10">
        <v>44867</v>
      </c>
    </row>
    <row r="999" spans="1:1" x14ac:dyDescent="0.25">
      <c r="A999" s="10">
        <v>44868</v>
      </c>
    </row>
    <row r="1000" spans="1:1" x14ac:dyDescent="0.25">
      <c r="A1000" s="10">
        <v>44869</v>
      </c>
    </row>
    <row r="1001" spans="1:1" x14ac:dyDescent="0.25">
      <c r="A1001" s="10">
        <v>44870</v>
      </c>
    </row>
    <row r="1002" spans="1:1" x14ac:dyDescent="0.25">
      <c r="A1002" s="10">
        <v>44871</v>
      </c>
    </row>
    <row r="1003" spans="1:1" x14ac:dyDescent="0.25">
      <c r="A1003" s="10">
        <v>44872</v>
      </c>
    </row>
    <row r="1004" spans="1:1" x14ac:dyDescent="0.25">
      <c r="A1004" s="10">
        <v>44873</v>
      </c>
    </row>
    <row r="1005" spans="1:1" x14ac:dyDescent="0.25">
      <c r="A1005" s="10">
        <v>44874</v>
      </c>
    </row>
    <row r="1006" spans="1:1" x14ac:dyDescent="0.25">
      <c r="A1006" s="10">
        <v>44875</v>
      </c>
    </row>
    <row r="1007" spans="1:1" x14ac:dyDescent="0.25">
      <c r="A1007" s="10">
        <v>44876</v>
      </c>
    </row>
    <row r="1008" spans="1:1" x14ac:dyDescent="0.25">
      <c r="A1008" s="10">
        <v>44877</v>
      </c>
    </row>
    <row r="1009" spans="1:1" x14ac:dyDescent="0.25">
      <c r="A1009" s="10">
        <v>44878</v>
      </c>
    </row>
    <row r="1010" spans="1:1" x14ac:dyDescent="0.25">
      <c r="A1010" s="10">
        <v>44879</v>
      </c>
    </row>
    <row r="1011" spans="1:1" x14ac:dyDescent="0.25">
      <c r="A1011" s="10">
        <v>44880</v>
      </c>
    </row>
    <row r="1012" spans="1:1" x14ac:dyDescent="0.25">
      <c r="A1012" s="10">
        <v>44881</v>
      </c>
    </row>
    <row r="1013" spans="1:1" x14ac:dyDescent="0.25">
      <c r="A1013" s="10">
        <v>44882</v>
      </c>
    </row>
    <row r="1014" spans="1:1" x14ac:dyDescent="0.25">
      <c r="A1014" s="10">
        <v>44883</v>
      </c>
    </row>
    <row r="1015" spans="1:1" x14ac:dyDescent="0.25">
      <c r="A1015" s="10">
        <v>44884</v>
      </c>
    </row>
    <row r="1016" spans="1:1" x14ac:dyDescent="0.25">
      <c r="A1016" s="10">
        <v>44885</v>
      </c>
    </row>
    <row r="1017" spans="1:1" x14ac:dyDescent="0.25">
      <c r="A1017" s="10">
        <v>44886</v>
      </c>
    </row>
    <row r="1018" spans="1:1" x14ac:dyDescent="0.25">
      <c r="A1018" s="10">
        <v>44887</v>
      </c>
    </row>
    <row r="1019" spans="1:1" x14ac:dyDescent="0.25">
      <c r="A1019" s="10">
        <v>44888</v>
      </c>
    </row>
    <row r="1020" spans="1:1" x14ac:dyDescent="0.25">
      <c r="A1020" s="10">
        <v>44889</v>
      </c>
    </row>
    <row r="1021" spans="1:1" x14ac:dyDescent="0.25">
      <c r="A1021" s="10">
        <v>44890</v>
      </c>
    </row>
    <row r="1022" spans="1:1" x14ac:dyDescent="0.25">
      <c r="A1022" s="10">
        <v>44891</v>
      </c>
    </row>
    <row r="1023" spans="1:1" x14ac:dyDescent="0.25">
      <c r="A1023" s="10">
        <v>44892</v>
      </c>
    </row>
    <row r="1024" spans="1:1" x14ac:dyDescent="0.25">
      <c r="A1024" s="10">
        <v>44893</v>
      </c>
    </row>
    <row r="1025" spans="1:1" x14ac:dyDescent="0.25">
      <c r="A1025" s="10">
        <v>44894</v>
      </c>
    </row>
    <row r="1026" spans="1:1" x14ac:dyDescent="0.25">
      <c r="A1026" s="10">
        <v>44895</v>
      </c>
    </row>
    <row r="1027" spans="1:1" x14ac:dyDescent="0.25">
      <c r="A1027" s="9" t="s">
        <v>85</v>
      </c>
    </row>
    <row r="1028" spans="1:1" x14ac:dyDescent="0.25">
      <c r="A1028" s="10">
        <v>44896</v>
      </c>
    </row>
    <row r="1029" spans="1:1" x14ac:dyDescent="0.25">
      <c r="A1029" s="10">
        <v>44897</v>
      </c>
    </row>
    <row r="1030" spans="1:1" x14ac:dyDescent="0.25">
      <c r="A1030" s="10">
        <v>44898</v>
      </c>
    </row>
    <row r="1031" spans="1:1" x14ac:dyDescent="0.25">
      <c r="A1031" s="10">
        <v>44899</v>
      </c>
    </row>
    <row r="1032" spans="1:1" x14ac:dyDescent="0.25">
      <c r="A1032" s="10">
        <v>44900</v>
      </c>
    </row>
    <row r="1033" spans="1:1" x14ac:dyDescent="0.25">
      <c r="A1033" s="10">
        <v>44901</v>
      </c>
    </row>
    <row r="1034" spans="1:1" x14ac:dyDescent="0.25">
      <c r="A1034" s="10">
        <v>44902</v>
      </c>
    </row>
    <row r="1035" spans="1:1" x14ac:dyDescent="0.25">
      <c r="A1035" s="10">
        <v>44903</v>
      </c>
    </row>
    <row r="1036" spans="1:1" x14ac:dyDescent="0.25">
      <c r="A1036" s="10">
        <v>44904</v>
      </c>
    </row>
    <row r="1037" spans="1:1" x14ac:dyDescent="0.25">
      <c r="A1037" s="10">
        <v>44905</v>
      </c>
    </row>
    <row r="1038" spans="1:1" x14ac:dyDescent="0.25">
      <c r="A1038" s="10">
        <v>44906</v>
      </c>
    </row>
    <row r="1039" spans="1:1" x14ac:dyDescent="0.25">
      <c r="A1039" s="10">
        <v>44907</v>
      </c>
    </row>
    <row r="1040" spans="1:1" x14ac:dyDescent="0.25">
      <c r="A1040" s="10">
        <v>44908</v>
      </c>
    </row>
    <row r="1041" spans="1:1" x14ac:dyDescent="0.25">
      <c r="A1041" s="10">
        <v>44909</v>
      </c>
    </row>
    <row r="1042" spans="1:1" x14ac:dyDescent="0.25">
      <c r="A1042" s="10">
        <v>44910</v>
      </c>
    </row>
    <row r="1043" spans="1:1" x14ac:dyDescent="0.25">
      <c r="A1043" s="10">
        <v>44911</v>
      </c>
    </row>
    <row r="1044" spans="1:1" x14ac:dyDescent="0.25">
      <c r="A1044" s="10">
        <v>44912</v>
      </c>
    </row>
    <row r="1045" spans="1:1" x14ac:dyDescent="0.25">
      <c r="A1045" s="10">
        <v>44913</v>
      </c>
    </row>
    <row r="1046" spans="1:1" x14ac:dyDescent="0.25">
      <c r="A1046" s="10">
        <v>44914</v>
      </c>
    </row>
    <row r="1047" spans="1:1" x14ac:dyDescent="0.25">
      <c r="A1047" s="10">
        <v>44915</v>
      </c>
    </row>
    <row r="1048" spans="1:1" x14ac:dyDescent="0.25">
      <c r="A1048" s="10">
        <v>44916</v>
      </c>
    </row>
    <row r="1049" spans="1:1" x14ac:dyDescent="0.25">
      <c r="A1049" s="10">
        <v>44917</v>
      </c>
    </row>
    <row r="1050" spans="1:1" x14ac:dyDescent="0.25">
      <c r="A1050" s="10">
        <v>44918</v>
      </c>
    </row>
    <row r="1051" spans="1:1" x14ac:dyDescent="0.25">
      <c r="A1051" s="10">
        <v>44919</v>
      </c>
    </row>
    <row r="1052" spans="1:1" x14ac:dyDescent="0.25">
      <c r="A1052" s="10">
        <v>44920</v>
      </c>
    </row>
    <row r="1053" spans="1:1" x14ac:dyDescent="0.25">
      <c r="A1053" s="10">
        <v>44921</v>
      </c>
    </row>
    <row r="1054" spans="1:1" x14ac:dyDescent="0.25">
      <c r="A1054" s="10">
        <v>44922</v>
      </c>
    </row>
    <row r="1055" spans="1:1" x14ac:dyDescent="0.25">
      <c r="A1055" s="10">
        <v>44923</v>
      </c>
    </row>
    <row r="1056" spans="1:1" x14ac:dyDescent="0.25">
      <c r="A1056" s="10">
        <v>44924</v>
      </c>
    </row>
    <row r="1057" spans="1:1" x14ac:dyDescent="0.25">
      <c r="A1057" s="10">
        <v>44925</v>
      </c>
    </row>
    <row r="1058" spans="1:1" x14ac:dyDescent="0.25">
      <c r="A1058" s="10">
        <v>44926</v>
      </c>
    </row>
    <row r="1059" spans="1:1" x14ac:dyDescent="0.25">
      <c r="A1059" s="7" t="s">
        <v>73</v>
      </c>
    </row>
    <row r="1060" spans="1:1" x14ac:dyDescent="0.25">
      <c r="A1060" s="8" t="s">
        <v>87</v>
      </c>
    </row>
    <row r="1061" spans="1:1" x14ac:dyDescent="0.25">
      <c r="A1061" s="9" t="s">
        <v>88</v>
      </c>
    </row>
    <row r="1062" spans="1:1" x14ac:dyDescent="0.25">
      <c r="A1062" s="10">
        <v>44927</v>
      </c>
    </row>
    <row r="1063" spans="1:1" x14ac:dyDescent="0.25">
      <c r="A1063" s="10">
        <v>44928</v>
      </c>
    </row>
    <row r="1064" spans="1:1" x14ac:dyDescent="0.25">
      <c r="A1064" s="10">
        <v>44929</v>
      </c>
    </row>
    <row r="1065" spans="1:1" x14ac:dyDescent="0.25">
      <c r="A1065" s="10">
        <v>44930</v>
      </c>
    </row>
    <row r="1066" spans="1:1" x14ac:dyDescent="0.25">
      <c r="A1066" s="10">
        <v>44931</v>
      </c>
    </row>
    <row r="1067" spans="1:1" x14ac:dyDescent="0.25">
      <c r="A1067" s="10">
        <v>44932</v>
      </c>
    </row>
    <row r="1068" spans="1:1" x14ac:dyDescent="0.25">
      <c r="A1068" s="10">
        <v>44933</v>
      </c>
    </row>
    <row r="1069" spans="1:1" x14ac:dyDescent="0.25">
      <c r="A1069" s="10">
        <v>44934</v>
      </c>
    </row>
    <row r="1070" spans="1:1" x14ac:dyDescent="0.25">
      <c r="A1070" s="10">
        <v>44935</v>
      </c>
    </row>
    <row r="1071" spans="1:1" x14ac:dyDescent="0.25">
      <c r="A1071" s="10">
        <v>44936</v>
      </c>
    </row>
    <row r="1072" spans="1:1" x14ac:dyDescent="0.25">
      <c r="A1072" s="10">
        <v>44937</v>
      </c>
    </row>
    <row r="1073" spans="1:1" x14ac:dyDescent="0.25">
      <c r="A1073" s="10">
        <v>44938</v>
      </c>
    </row>
    <row r="1074" spans="1:1" x14ac:dyDescent="0.25">
      <c r="A1074" s="10">
        <v>44939</v>
      </c>
    </row>
    <row r="1075" spans="1:1" x14ac:dyDescent="0.25">
      <c r="A1075" s="10">
        <v>44940</v>
      </c>
    </row>
    <row r="1076" spans="1:1" x14ac:dyDescent="0.25">
      <c r="A1076" s="10">
        <v>44941</v>
      </c>
    </row>
    <row r="1077" spans="1:1" x14ac:dyDescent="0.25">
      <c r="A1077" s="10">
        <v>44942</v>
      </c>
    </row>
    <row r="1078" spans="1:1" x14ac:dyDescent="0.25">
      <c r="A1078" s="10">
        <v>44943</v>
      </c>
    </row>
    <row r="1079" spans="1:1" x14ac:dyDescent="0.25">
      <c r="A1079" s="10">
        <v>44944</v>
      </c>
    </row>
    <row r="1080" spans="1:1" x14ac:dyDescent="0.25">
      <c r="A1080" s="10">
        <v>44945</v>
      </c>
    </row>
    <row r="1081" spans="1:1" x14ac:dyDescent="0.25">
      <c r="A1081" s="10">
        <v>44946</v>
      </c>
    </row>
    <row r="1082" spans="1:1" x14ac:dyDescent="0.25">
      <c r="A1082" s="10">
        <v>44947</v>
      </c>
    </row>
    <row r="1083" spans="1:1" x14ac:dyDescent="0.25">
      <c r="A1083" s="10">
        <v>44948</v>
      </c>
    </row>
    <row r="1084" spans="1:1" x14ac:dyDescent="0.25">
      <c r="A1084" s="10">
        <v>44949</v>
      </c>
    </row>
    <row r="1085" spans="1:1" x14ac:dyDescent="0.25">
      <c r="A1085" s="10">
        <v>44950</v>
      </c>
    </row>
    <row r="1086" spans="1:1" x14ac:dyDescent="0.25">
      <c r="A1086" s="10">
        <v>44951</v>
      </c>
    </row>
    <row r="1087" spans="1:1" x14ac:dyDescent="0.25">
      <c r="A1087" s="10">
        <v>44952</v>
      </c>
    </row>
    <row r="1088" spans="1:1" x14ac:dyDescent="0.25">
      <c r="A1088" s="10">
        <v>44953</v>
      </c>
    </row>
    <row r="1089" spans="1:1" x14ac:dyDescent="0.25">
      <c r="A1089" s="10">
        <v>44954</v>
      </c>
    </row>
    <row r="1090" spans="1:1" x14ac:dyDescent="0.25">
      <c r="A1090" s="10">
        <v>44955</v>
      </c>
    </row>
    <row r="1091" spans="1:1" x14ac:dyDescent="0.25">
      <c r="A1091" s="10">
        <v>44956</v>
      </c>
    </row>
    <row r="1092" spans="1:1" x14ac:dyDescent="0.25">
      <c r="A1092" s="10">
        <v>44957</v>
      </c>
    </row>
    <row r="1093" spans="1:1" x14ac:dyDescent="0.25">
      <c r="A1093" s="9" t="s">
        <v>89</v>
      </c>
    </row>
    <row r="1094" spans="1:1" x14ac:dyDescent="0.25">
      <c r="A1094" s="10">
        <v>44958</v>
      </c>
    </row>
    <row r="1095" spans="1:1" x14ac:dyDescent="0.25">
      <c r="A1095" s="10">
        <v>44959</v>
      </c>
    </row>
    <row r="1096" spans="1:1" x14ac:dyDescent="0.25">
      <c r="A1096" s="10">
        <v>44960</v>
      </c>
    </row>
    <row r="1097" spans="1:1" x14ac:dyDescent="0.25">
      <c r="A1097" s="10">
        <v>44961</v>
      </c>
    </row>
    <row r="1098" spans="1:1" x14ac:dyDescent="0.25">
      <c r="A1098" s="10">
        <v>44962</v>
      </c>
    </row>
    <row r="1099" spans="1:1" x14ac:dyDescent="0.25">
      <c r="A1099" s="10">
        <v>44963</v>
      </c>
    </row>
    <row r="1100" spans="1:1" x14ac:dyDescent="0.25">
      <c r="A1100" s="10">
        <v>44964</v>
      </c>
    </row>
    <row r="1101" spans="1:1" x14ac:dyDescent="0.25">
      <c r="A1101" s="10">
        <v>44965</v>
      </c>
    </row>
    <row r="1102" spans="1:1" x14ac:dyDescent="0.25">
      <c r="A1102" s="10">
        <v>44966</v>
      </c>
    </row>
    <row r="1103" spans="1:1" x14ac:dyDescent="0.25">
      <c r="A1103" s="10">
        <v>44967</v>
      </c>
    </row>
    <row r="1104" spans="1:1" x14ac:dyDescent="0.25">
      <c r="A1104" s="10">
        <v>44968</v>
      </c>
    </row>
    <row r="1105" spans="1:1" x14ac:dyDescent="0.25">
      <c r="A1105" s="10">
        <v>44969</v>
      </c>
    </row>
    <row r="1106" spans="1:1" x14ac:dyDescent="0.25">
      <c r="A1106" s="10">
        <v>44970</v>
      </c>
    </row>
    <row r="1107" spans="1:1" x14ac:dyDescent="0.25">
      <c r="A1107" s="10">
        <v>44971</v>
      </c>
    </row>
    <row r="1108" spans="1:1" x14ac:dyDescent="0.25">
      <c r="A1108" s="10">
        <v>44972</v>
      </c>
    </row>
    <row r="1109" spans="1:1" x14ac:dyDescent="0.25">
      <c r="A1109" s="10">
        <v>44973</v>
      </c>
    </row>
    <row r="1110" spans="1:1" x14ac:dyDescent="0.25">
      <c r="A1110" s="10">
        <v>44974</v>
      </c>
    </row>
    <row r="1111" spans="1:1" x14ac:dyDescent="0.25">
      <c r="A1111" s="10">
        <v>44975</v>
      </c>
    </row>
    <row r="1112" spans="1:1" x14ac:dyDescent="0.25">
      <c r="A1112" s="10">
        <v>44976</v>
      </c>
    </row>
    <row r="1113" spans="1:1" x14ac:dyDescent="0.25">
      <c r="A1113" s="10">
        <v>44977</v>
      </c>
    </row>
    <row r="1114" spans="1:1" x14ac:dyDescent="0.25">
      <c r="A1114" s="10">
        <v>44978</v>
      </c>
    </row>
    <row r="1115" spans="1:1" x14ac:dyDescent="0.25">
      <c r="A1115" s="10">
        <v>44979</v>
      </c>
    </row>
    <row r="1116" spans="1:1" x14ac:dyDescent="0.25">
      <c r="A1116" s="10">
        <v>44980</v>
      </c>
    </row>
    <row r="1117" spans="1:1" x14ac:dyDescent="0.25">
      <c r="A1117" s="10">
        <v>44981</v>
      </c>
    </row>
    <row r="1118" spans="1:1" x14ac:dyDescent="0.25">
      <c r="A1118" s="10">
        <v>44982</v>
      </c>
    </row>
    <row r="1119" spans="1:1" x14ac:dyDescent="0.25">
      <c r="A1119" s="10">
        <v>44983</v>
      </c>
    </row>
    <row r="1120" spans="1:1" x14ac:dyDescent="0.25">
      <c r="A1120" s="10">
        <v>44984</v>
      </c>
    </row>
    <row r="1121" spans="1:1" x14ac:dyDescent="0.25">
      <c r="A1121" s="10">
        <v>44985</v>
      </c>
    </row>
    <row r="1122" spans="1:1" x14ac:dyDescent="0.25">
      <c r="A1122" s="9" t="s">
        <v>90</v>
      </c>
    </row>
    <row r="1123" spans="1:1" x14ac:dyDescent="0.25">
      <c r="A1123" s="10">
        <v>44986</v>
      </c>
    </row>
    <row r="1124" spans="1:1" x14ac:dyDescent="0.25">
      <c r="A1124" s="10">
        <v>44987</v>
      </c>
    </row>
    <row r="1125" spans="1:1" x14ac:dyDescent="0.25">
      <c r="A1125" s="10">
        <v>44988</v>
      </c>
    </row>
    <row r="1126" spans="1:1" x14ac:dyDescent="0.25">
      <c r="A1126" s="10">
        <v>44989</v>
      </c>
    </row>
    <row r="1127" spans="1:1" x14ac:dyDescent="0.25">
      <c r="A1127" s="10">
        <v>44990</v>
      </c>
    </row>
    <row r="1128" spans="1:1" x14ac:dyDescent="0.25">
      <c r="A1128" s="10">
        <v>44991</v>
      </c>
    </row>
    <row r="1129" spans="1:1" x14ac:dyDescent="0.25">
      <c r="A1129" s="10">
        <v>44992</v>
      </c>
    </row>
    <row r="1130" spans="1:1" x14ac:dyDescent="0.25">
      <c r="A1130" s="10">
        <v>44993</v>
      </c>
    </row>
    <row r="1131" spans="1:1" x14ac:dyDescent="0.25">
      <c r="A1131" s="10">
        <v>44994</v>
      </c>
    </row>
    <row r="1132" spans="1:1" x14ac:dyDescent="0.25">
      <c r="A1132" s="10">
        <v>44995</v>
      </c>
    </row>
    <row r="1133" spans="1:1" x14ac:dyDescent="0.25">
      <c r="A1133" s="10">
        <v>44996</v>
      </c>
    </row>
    <row r="1134" spans="1:1" x14ac:dyDescent="0.25">
      <c r="A1134" s="10">
        <v>44997</v>
      </c>
    </row>
    <row r="1135" spans="1:1" x14ac:dyDescent="0.25">
      <c r="A1135" s="10">
        <v>44998</v>
      </c>
    </row>
    <row r="1136" spans="1:1" x14ac:dyDescent="0.25">
      <c r="A1136" s="10">
        <v>44999</v>
      </c>
    </row>
    <row r="1137" spans="1:1" x14ac:dyDescent="0.25">
      <c r="A1137" s="10">
        <v>45000</v>
      </c>
    </row>
    <row r="1138" spans="1:1" x14ac:dyDescent="0.25">
      <c r="A1138" s="10">
        <v>45001</v>
      </c>
    </row>
    <row r="1139" spans="1:1" x14ac:dyDescent="0.25">
      <c r="A1139" s="10">
        <v>45002</v>
      </c>
    </row>
    <row r="1140" spans="1:1" x14ac:dyDescent="0.25">
      <c r="A1140" s="10">
        <v>45003</v>
      </c>
    </row>
    <row r="1141" spans="1:1" x14ac:dyDescent="0.25">
      <c r="A1141" s="10">
        <v>45004</v>
      </c>
    </row>
    <row r="1142" spans="1:1" x14ac:dyDescent="0.25">
      <c r="A1142" s="10">
        <v>45005</v>
      </c>
    </row>
    <row r="1143" spans="1:1" x14ac:dyDescent="0.25">
      <c r="A1143" s="10">
        <v>45006</v>
      </c>
    </row>
    <row r="1144" spans="1:1" x14ac:dyDescent="0.25">
      <c r="A1144" s="10">
        <v>45007</v>
      </c>
    </row>
    <row r="1145" spans="1:1" x14ac:dyDescent="0.25">
      <c r="A1145" s="10">
        <v>45008</v>
      </c>
    </row>
    <row r="1146" spans="1:1" x14ac:dyDescent="0.25">
      <c r="A1146" s="10">
        <v>45009</v>
      </c>
    </row>
    <row r="1147" spans="1:1" x14ac:dyDescent="0.25">
      <c r="A1147" s="10">
        <v>45010</v>
      </c>
    </row>
    <row r="1148" spans="1:1" x14ac:dyDescent="0.25">
      <c r="A1148" s="10">
        <v>45011</v>
      </c>
    </row>
    <row r="1149" spans="1:1" x14ac:dyDescent="0.25">
      <c r="A1149" s="10">
        <v>45012</v>
      </c>
    </row>
    <row r="1150" spans="1:1" x14ac:dyDescent="0.25">
      <c r="A1150" s="10">
        <v>45013</v>
      </c>
    </row>
    <row r="1151" spans="1:1" x14ac:dyDescent="0.25">
      <c r="A1151" s="10">
        <v>45014</v>
      </c>
    </row>
    <row r="1152" spans="1:1" x14ac:dyDescent="0.25">
      <c r="A1152" s="10">
        <v>45015</v>
      </c>
    </row>
    <row r="1153" spans="1:1" x14ac:dyDescent="0.25">
      <c r="A1153" s="10">
        <v>45016</v>
      </c>
    </row>
    <row r="1154" spans="1:1" x14ac:dyDescent="0.25">
      <c r="A1154" s="8" t="s">
        <v>75</v>
      </c>
    </row>
    <row r="1155" spans="1:1" x14ac:dyDescent="0.25">
      <c r="A1155" s="9" t="s">
        <v>78</v>
      </c>
    </row>
    <row r="1156" spans="1:1" x14ac:dyDescent="0.25">
      <c r="A1156" s="10">
        <v>45017</v>
      </c>
    </row>
    <row r="1157" spans="1:1" x14ac:dyDescent="0.25">
      <c r="A1157" s="10">
        <v>45018</v>
      </c>
    </row>
    <row r="1158" spans="1:1" x14ac:dyDescent="0.25">
      <c r="A1158" s="10">
        <v>45019</v>
      </c>
    </row>
    <row r="1159" spans="1:1" x14ac:dyDescent="0.25">
      <c r="A1159" s="10">
        <v>45020</v>
      </c>
    </row>
    <row r="1160" spans="1:1" x14ac:dyDescent="0.25">
      <c r="A1160" s="10">
        <v>45021</v>
      </c>
    </row>
    <row r="1161" spans="1:1" x14ac:dyDescent="0.25">
      <c r="A1161" s="10">
        <v>45022</v>
      </c>
    </row>
    <row r="1162" spans="1:1" x14ac:dyDescent="0.25">
      <c r="A1162" s="10">
        <v>45023</v>
      </c>
    </row>
    <row r="1163" spans="1:1" x14ac:dyDescent="0.25">
      <c r="A1163" s="10">
        <v>45024</v>
      </c>
    </row>
    <row r="1164" spans="1:1" x14ac:dyDescent="0.25">
      <c r="A1164" s="10">
        <v>45025</v>
      </c>
    </row>
    <row r="1165" spans="1:1" x14ac:dyDescent="0.25">
      <c r="A1165" s="10">
        <v>45026</v>
      </c>
    </row>
    <row r="1166" spans="1:1" x14ac:dyDescent="0.25">
      <c r="A1166" s="10">
        <v>45027</v>
      </c>
    </row>
    <row r="1167" spans="1:1" x14ac:dyDescent="0.25">
      <c r="A1167" s="10">
        <v>45028</v>
      </c>
    </row>
    <row r="1168" spans="1:1" x14ac:dyDescent="0.25">
      <c r="A1168" s="10">
        <v>45029</v>
      </c>
    </row>
    <row r="1169" spans="1:1" x14ac:dyDescent="0.25">
      <c r="A1169" s="10">
        <v>45030</v>
      </c>
    </row>
    <row r="1170" spans="1:1" x14ac:dyDescent="0.25">
      <c r="A1170" s="10">
        <v>45031</v>
      </c>
    </row>
    <row r="1171" spans="1:1" x14ac:dyDescent="0.25">
      <c r="A1171" s="10">
        <v>45032</v>
      </c>
    </row>
    <row r="1172" spans="1:1" x14ac:dyDescent="0.25">
      <c r="A1172" s="10">
        <v>45033</v>
      </c>
    </row>
    <row r="1173" spans="1:1" x14ac:dyDescent="0.25">
      <c r="A1173" s="10">
        <v>45034</v>
      </c>
    </row>
    <row r="1174" spans="1:1" x14ac:dyDescent="0.25">
      <c r="A1174" s="10">
        <v>45035</v>
      </c>
    </row>
    <row r="1175" spans="1:1" x14ac:dyDescent="0.25">
      <c r="A1175" s="10">
        <v>45036</v>
      </c>
    </row>
    <row r="1176" spans="1:1" x14ac:dyDescent="0.25">
      <c r="A1176" s="10">
        <v>45037</v>
      </c>
    </row>
    <row r="1177" spans="1:1" x14ac:dyDescent="0.25">
      <c r="A1177" s="10">
        <v>45038</v>
      </c>
    </row>
    <row r="1178" spans="1:1" x14ac:dyDescent="0.25">
      <c r="A1178" s="10">
        <v>45039</v>
      </c>
    </row>
    <row r="1179" spans="1:1" x14ac:dyDescent="0.25">
      <c r="A1179" s="10">
        <v>45040</v>
      </c>
    </row>
    <row r="1180" spans="1:1" x14ac:dyDescent="0.25">
      <c r="A1180" s="10">
        <v>45041</v>
      </c>
    </row>
    <row r="1181" spans="1:1" x14ac:dyDescent="0.25">
      <c r="A1181" s="10">
        <v>45042</v>
      </c>
    </row>
    <row r="1182" spans="1:1" x14ac:dyDescent="0.25">
      <c r="A1182" s="10">
        <v>45043</v>
      </c>
    </row>
    <row r="1183" spans="1:1" x14ac:dyDescent="0.25">
      <c r="A1183" s="10">
        <v>45044</v>
      </c>
    </row>
    <row r="1184" spans="1:1" x14ac:dyDescent="0.25">
      <c r="A1184" s="10">
        <v>45045</v>
      </c>
    </row>
    <row r="1185" spans="1:1" x14ac:dyDescent="0.25">
      <c r="A1185" s="10">
        <v>45046</v>
      </c>
    </row>
    <row r="1186" spans="1:1" x14ac:dyDescent="0.25">
      <c r="A1186" s="9" t="s">
        <v>53</v>
      </c>
    </row>
    <row r="1187" spans="1:1" x14ac:dyDescent="0.25">
      <c r="A1187" s="10">
        <v>45047</v>
      </c>
    </row>
    <row r="1188" spans="1:1" x14ac:dyDescent="0.25">
      <c r="A1188" s="10">
        <v>45048</v>
      </c>
    </row>
    <row r="1189" spans="1:1" x14ac:dyDescent="0.25">
      <c r="A1189" s="10">
        <v>45049</v>
      </c>
    </row>
    <row r="1190" spans="1:1" x14ac:dyDescent="0.25">
      <c r="A1190" s="10">
        <v>45050</v>
      </c>
    </row>
    <row r="1191" spans="1:1" x14ac:dyDescent="0.25">
      <c r="A1191" s="10">
        <v>45051</v>
      </c>
    </row>
    <row r="1192" spans="1:1" x14ac:dyDescent="0.25">
      <c r="A1192" s="10">
        <v>45052</v>
      </c>
    </row>
    <row r="1193" spans="1:1" x14ac:dyDescent="0.25">
      <c r="A1193" s="10">
        <v>45053</v>
      </c>
    </row>
    <row r="1194" spans="1:1" x14ac:dyDescent="0.25">
      <c r="A1194" s="10">
        <v>45054</v>
      </c>
    </row>
    <row r="1195" spans="1:1" x14ac:dyDescent="0.25">
      <c r="A1195" s="10">
        <v>45055</v>
      </c>
    </row>
    <row r="1196" spans="1:1" x14ac:dyDescent="0.25">
      <c r="A1196" s="10">
        <v>45056</v>
      </c>
    </row>
    <row r="1197" spans="1:1" x14ac:dyDescent="0.25">
      <c r="A1197" s="10">
        <v>45057</v>
      </c>
    </row>
    <row r="1198" spans="1:1" x14ac:dyDescent="0.25">
      <c r="A1198" s="10">
        <v>45058</v>
      </c>
    </row>
    <row r="1199" spans="1:1" x14ac:dyDescent="0.25">
      <c r="A1199" s="10">
        <v>45059</v>
      </c>
    </row>
    <row r="1200" spans="1:1" x14ac:dyDescent="0.25">
      <c r="A1200" s="10">
        <v>45060</v>
      </c>
    </row>
    <row r="1201" spans="1:1" x14ac:dyDescent="0.25">
      <c r="A1201" s="10">
        <v>45061</v>
      </c>
    </row>
    <row r="1202" spans="1:1" x14ac:dyDescent="0.25">
      <c r="A1202" s="10">
        <v>45062</v>
      </c>
    </row>
    <row r="1203" spans="1:1" x14ac:dyDescent="0.25">
      <c r="A1203" s="10">
        <v>45063</v>
      </c>
    </row>
    <row r="1204" spans="1:1" x14ac:dyDescent="0.25">
      <c r="A1204" s="10">
        <v>45064</v>
      </c>
    </row>
    <row r="1205" spans="1:1" x14ac:dyDescent="0.25">
      <c r="A1205" s="10">
        <v>45065</v>
      </c>
    </row>
    <row r="1206" spans="1:1" x14ac:dyDescent="0.25">
      <c r="A1206" s="10">
        <v>45066</v>
      </c>
    </row>
    <row r="1207" spans="1:1" x14ac:dyDescent="0.25">
      <c r="A1207" s="10">
        <v>45067</v>
      </c>
    </row>
    <row r="1208" spans="1:1" x14ac:dyDescent="0.25">
      <c r="A1208" s="10">
        <v>45068</v>
      </c>
    </row>
    <row r="1209" spans="1:1" x14ac:dyDescent="0.25">
      <c r="A1209" s="10">
        <v>45069</v>
      </c>
    </row>
    <row r="1210" spans="1:1" x14ac:dyDescent="0.25">
      <c r="A1210" s="10">
        <v>45070</v>
      </c>
    </row>
    <row r="1211" spans="1:1" x14ac:dyDescent="0.25">
      <c r="A1211" s="10">
        <v>45071</v>
      </c>
    </row>
    <row r="1212" spans="1:1" x14ac:dyDescent="0.25">
      <c r="A1212" s="10">
        <v>45072</v>
      </c>
    </row>
    <row r="1213" spans="1:1" x14ac:dyDescent="0.25">
      <c r="A1213" s="10">
        <v>45073</v>
      </c>
    </row>
    <row r="1214" spans="1:1" x14ac:dyDescent="0.25">
      <c r="A1214" s="10">
        <v>45074</v>
      </c>
    </row>
    <row r="1215" spans="1:1" x14ac:dyDescent="0.25">
      <c r="A1215" s="10">
        <v>45075</v>
      </c>
    </row>
    <row r="1216" spans="1:1" x14ac:dyDescent="0.25">
      <c r="A1216" s="10">
        <v>45076</v>
      </c>
    </row>
    <row r="1217" spans="1:1" x14ac:dyDescent="0.25">
      <c r="A1217" s="10">
        <v>45077</v>
      </c>
    </row>
    <row r="1218" spans="1:1" x14ac:dyDescent="0.25">
      <c r="A1218" s="9" t="s">
        <v>79</v>
      </c>
    </row>
    <row r="1219" spans="1:1" x14ac:dyDescent="0.25">
      <c r="A1219" s="10">
        <v>45078</v>
      </c>
    </row>
    <row r="1220" spans="1:1" x14ac:dyDescent="0.25">
      <c r="A1220" s="10">
        <v>45079</v>
      </c>
    </row>
    <row r="1221" spans="1:1" x14ac:dyDescent="0.25">
      <c r="A1221" s="10">
        <v>45080</v>
      </c>
    </row>
    <row r="1222" spans="1:1" x14ac:dyDescent="0.25">
      <c r="A1222" s="10">
        <v>45081</v>
      </c>
    </row>
    <row r="1223" spans="1:1" x14ac:dyDescent="0.25">
      <c r="A1223" s="10">
        <v>45082</v>
      </c>
    </row>
    <row r="1224" spans="1:1" x14ac:dyDescent="0.25">
      <c r="A1224" s="10">
        <v>45083</v>
      </c>
    </row>
    <row r="1225" spans="1:1" x14ac:dyDescent="0.25">
      <c r="A1225" s="10">
        <v>45084</v>
      </c>
    </row>
    <row r="1226" spans="1:1" x14ac:dyDescent="0.25">
      <c r="A1226" s="10">
        <v>45085</v>
      </c>
    </row>
    <row r="1227" spans="1:1" x14ac:dyDescent="0.25">
      <c r="A1227" s="10">
        <v>45086</v>
      </c>
    </row>
    <row r="1228" spans="1:1" x14ac:dyDescent="0.25">
      <c r="A1228" s="10">
        <v>45087</v>
      </c>
    </row>
    <row r="1229" spans="1:1" x14ac:dyDescent="0.25">
      <c r="A1229" s="10">
        <v>45088</v>
      </c>
    </row>
    <row r="1230" spans="1:1" x14ac:dyDescent="0.25">
      <c r="A1230" s="10">
        <v>45089</v>
      </c>
    </row>
    <row r="1231" spans="1:1" x14ac:dyDescent="0.25">
      <c r="A1231" s="10">
        <v>45090</v>
      </c>
    </row>
    <row r="1232" spans="1:1" x14ac:dyDescent="0.25">
      <c r="A1232" s="10">
        <v>45091</v>
      </c>
    </row>
    <row r="1233" spans="1:1" x14ac:dyDescent="0.25">
      <c r="A1233" s="10">
        <v>45092</v>
      </c>
    </row>
    <row r="1234" spans="1:1" x14ac:dyDescent="0.25">
      <c r="A1234" s="10">
        <v>45093</v>
      </c>
    </row>
    <row r="1235" spans="1:1" x14ac:dyDescent="0.25">
      <c r="A1235" s="10">
        <v>45094</v>
      </c>
    </row>
    <row r="1236" spans="1:1" x14ac:dyDescent="0.25">
      <c r="A1236" s="10">
        <v>45095</v>
      </c>
    </row>
    <row r="1237" spans="1:1" x14ac:dyDescent="0.25">
      <c r="A1237" s="10">
        <v>45096</v>
      </c>
    </row>
    <row r="1238" spans="1:1" x14ac:dyDescent="0.25">
      <c r="A1238" s="10">
        <v>45097</v>
      </c>
    </row>
    <row r="1239" spans="1:1" x14ac:dyDescent="0.25">
      <c r="A1239" s="10">
        <v>45098</v>
      </c>
    </row>
    <row r="1240" spans="1:1" x14ac:dyDescent="0.25">
      <c r="A1240" s="10">
        <v>45099</v>
      </c>
    </row>
    <row r="1241" spans="1:1" x14ac:dyDescent="0.25">
      <c r="A1241" s="10">
        <v>45100</v>
      </c>
    </row>
    <row r="1242" spans="1:1" x14ac:dyDescent="0.25">
      <c r="A1242" s="10">
        <v>45101</v>
      </c>
    </row>
    <row r="1243" spans="1:1" x14ac:dyDescent="0.25">
      <c r="A1243" s="10">
        <v>45102</v>
      </c>
    </row>
    <row r="1244" spans="1:1" x14ac:dyDescent="0.25">
      <c r="A1244" s="10">
        <v>45103</v>
      </c>
    </row>
    <row r="1245" spans="1:1" x14ac:dyDescent="0.25">
      <c r="A1245" s="10">
        <v>45104</v>
      </c>
    </row>
    <row r="1246" spans="1:1" x14ac:dyDescent="0.25">
      <c r="A1246" s="10">
        <v>45105</v>
      </c>
    </row>
    <row r="1247" spans="1:1" x14ac:dyDescent="0.25">
      <c r="A1247" s="10">
        <v>45106</v>
      </c>
    </row>
    <row r="1248" spans="1:1" x14ac:dyDescent="0.25">
      <c r="A1248" s="10">
        <v>45107</v>
      </c>
    </row>
    <row r="1249" spans="1:1" x14ac:dyDescent="0.25">
      <c r="A1249" s="8" t="s">
        <v>76</v>
      </c>
    </row>
    <row r="1250" spans="1:1" x14ac:dyDescent="0.25">
      <c r="A1250" s="9" t="s">
        <v>80</v>
      </c>
    </row>
    <row r="1251" spans="1:1" x14ac:dyDescent="0.25">
      <c r="A1251" s="10">
        <v>45108</v>
      </c>
    </row>
    <row r="1252" spans="1:1" x14ac:dyDescent="0.25">
      <c r="A1252" s="10">
        <v>45109</v>
      </c>
    </row>
    <row r="1253" spans="1:1" x14ac:dyDescent="0.25">
      <c r="A1253" s="10">
        <v>45110</v>
      </c>
    </row>
    <row r="1254" spans="1:1" x14ac:dyDescent="0.25">
      <c r="A1254" s="10">
        <v>45111</v>
      </c>
    </row>
    <row r="1255" spans="1:1" x14ac:dyDescent="0.25">
      <c r="A1255" s="10">
        <v>45112</v>
      </c>
    </row>
    <row r="1256" spans="1:1" x14ac:dyDescent="0.25">
      <c r="A1256" s="10">
        <v>45113</v>
      </c>
    </row>
    <row r="1257" spans="1:1" x14ac:dyDescent="0.25">
      <c r="A1257" s="10">
        <v>45114</v>
      </c>
    </row>
    <row r="1258" spans="1:1" x14ac:dyDescent="0.25">
      <c r="A1258" s="10">
        <v>45115</v>
      </c>
    </row>
    <row r="1259" spans="1:1" x14ac:dyDescent="0.25">
      <c r="A1259" s="10">
        <v>45116</v>
      </c>
    </row>
    <row r="1260" spans="1:1" x14ac:dyDescent="0.25">
      <c r="A1260" s="10">
        <v>45117</v>
      </c>
    </row>
    <row r="1261" spans="1:1" x14ac:dyDescent="0.25">
      <c r="A1261" s="10">
        <v>45118</v>
      </c>
    </row>
    <row r="1262" spans="1:1" x14ac:dyDescent="0.25">
      <c r="A1262" s="10">
        <v>45119</v>
      </c>
    </row>
    <row r="1263" spans="1:1" x14ac:dyDescent="0.25">
      <c r="A1263" s="10">
        <v>45120</v>
      </c>
    </row>
    <row r="1264" spans="1:1" x14ac:dyDescent="0.25">
      <c r="A1264" s="10">
        <v>45121</v>
      </c>
    </row>
    <row r="1265" spans="1:1" x14ac:dyDescent="0.25">
      <c r="A1265" s="10">
        <v>45122</v>
      </c>
    </row>
    <row r="1266" spans="1:1" x14ac:dyDescent="0.25">
      <c r="A1266" s="10">
        <v>45123</v>
      </c>
    </row>
    <row r="1267" spans="1:1" x14ac:dyDescent="0.25">
      <c r="A1267" s="10">
        <v>45124</v>
      </c>
    </row>
    <row r="1268" spans="1:1" x14ac:dyDescent="0.25">
      <c r="A1268" s="10">
        <v>45125</v>
      </c>
    </row>
    <row r="1269" spans="1:1" x14ac:dyDescent="0.25">
      <c r="A1269" s="10">
        <v>45126</v>
      </c>
    </row>
    <row r="1270" spans="1:1" x14ac:dyDescent="0.25">
      <c r="A1270" s="10">
        <v>45127</v>
      </c>
    </row>
    <row r="1271" spans="1:1" x14ac:dyDescent="0.25">
      <c r="A1271" s="10">
        <v>45128</v>
      </c>
    </row>
    <row r="1272" spans="1:1" x14ac:dyDescent="0.25">
      <c r="A1272" s="10">
        <v>45129</v>
      </c>
    </row>
    <row r="1273" spans="1:1" x14ac:dyDescent="0.25">
      <c r="A1273" s="10">
        <v>45130</v>
      </c>
    </row>
    <row r="1274" spans="1:1" x14ac:dyDescent="0.25">
      <c r="A1274" s="10">
        <v>45131</v>
      </c>
    </row>
    <row r="1275" spans="1:1" x14ac:dyDescent="0.25">
      <c r="A1275" s="10">
        <v>45132</v>
      </c>
    </row>
    <row r="1276" spans="1:1" x14ac:dyDescent="0.25">
      <c r="A1276" s="10">
        <v>45133</v>
      </c>
    </row>
    <row r="1277" spans="1:1" x14ac:dyDescent="0.25">
      <c r="A1277" s="10">
        <v>45134</v>
      </c>
    </row>
    <row r="1278" spans="1:1" x14ac:dyDescent="0.25">
      <c r="A1278" s="10">
        <v>45135</v>
      </c>
    </row>
    <row r="1279" spans="1:1" x14ac:dyDescent="0.25">
      <c r="A1279" s="10">
        <v>45136</v>
      </c>
    </row>
    <row r="1280" spans="1:1" x14ac:dyDescent="0.25">
      <c r="A1280" s="10">
        <v>45137</v>
      </c>
    </row>
    <row r="1281" spans="1:1" x14ac:dyDescent="0.25">
      <c r="A1281" s="10">
        <v>45138</v>
      </c>
    </row>
    <row r="1282" spans="1:1" x14ac:dyDescent="0.25">
      <c r="A1282" s="9" t="s">
        <v>81</v>
      </c>
    </row>
    <row r="1283" spans="1:1" x14ac:dyDescent="0.25">
      <c r="A1283" s="10">
        <v>45139</v>
      </c>
    </row>
    <row r="1284" spans="1:1" x14ac:dyDescent="0.25">
      <c r="A1284" s="10">
        <v>45140</v>
      </c>
    </row>
    <row r="1285" spans="1:1" x14ac:dyDescent="0.25">
      <c r="A1285" s="10">
        <v>45141</v>
      </c>
    </row>
    <row r="1286" spans="1:1" x14ac:dyDescent="0.25">
      <c r="A1286" s="10">
        <v>45142</v>
      </c>
    </row>
    <row r="1287" spans="1:1" x14ac:dyDescent="0.25">
      <c r="A1287" s="10">
        <v>45143</v>
      </c>
    </row>
    <row r="1288" spans="1:1" x14ac:dyDescent="0.25">
      <c r="A1288" s="10">
        <v>45144</v>
      </c>
    </row>
    <row r="1289" spans="1:1" x14ac:dyDescent="0.25">
      <c r="A1289" s="10">
        <v>45145</v>
      </c>
    </row>
    <row r="1290" spans="1:1" x14ac:dyDescent="0.25">
      <c r="A1290" s="10">
        <v>45146</v>
      </c>
    </row>
    <row r="1291" spans="1:1" x14ac:dyDescent="0.25">
      <c r="A1291" s="10">
        <v>45147</v>
      </c>
    </row>
    <row r="1292" spans="1:1" x14ac:dyDescent="0.25">
      <c r="A1292" s="10">
        <v>45148</v>
      </c>
    </row>
    <row r="1293" spans="1:1" x14ac:dyDescent="0.25">
      <c r="A1293" s="10">
        <v>45149</v>
      </c>
    </row>
    <row r="1294" spans="1:1" x14ac:dyDescent="0.25">
      <c r="A1294" s="10">
        <v>45150</v>
      </c>
    </row>
    <row r="1295" spans="1:1" x14ac:dyDescent="0.25">
      <c r="A1295" s="10">
        <v>45151</v>
      </c>
    </row>
    <row r="1296" spans="1:1" x14ac:dyDescent="0.25">
      <c r="A1296" s="10">
        <v>45152</v>
      </c>
    </row>
    <row r="1297" spans="1:1" x14ac:dyDescent="0.25">
      <c r="A1297" s="10">
        <v>45153</v>
      </c>
    </row>
    <row r="1298" spans="1:1" x14ac:dyDescent="0.25">
      <c r="A1298" s="10">
        <v>45154</v>
      </c>
    </row>
    <row r="1299" spans="1:1" x14ac:dyDescent="0.25">
      <c r="A1299" s="10">
        <v>45155</v>
      </c>
    </row>
    <row r="1300" spans="1:1" x14ac:dyDescent="0.25">
      <c r="A1300" s="10">
        <v>45156</v>
      </c>
    </row>
    <row r="1301" spans="1:1" x14ac:dyDescent="0.25">
      <c r="A1301" s="10">
        <v>45157</v>
      </c>
    </row>
    <row r="1302" spans="1:1" x14ac:dyDescent="0.25">
      <c r="A1302" s="10">
        <v>45158</v>
      </c>
    </row>
    <row r="1303" spans="1:1" x14ac:dyDescent="0.25">
      <c r="A1303" s="10">
        <v>45159</v>
      </c>
    </row>
    <row r="1304" spans="1:1" x14ac:dyDescent="0.25">
      <c r="A1304" s="10">
        <v>45160</v>
      </c>
    </row>
    <row r="1305" spans="1:1" x14ac:dyDescent="0.25">
      <c r="A1305" s="10">
        <v>45161</v>
      </c>
    </row>
    <row r="1306" spans="1:1" x14ac:dyDescent="0.25">
      <c r="A1306" s="10">
        <v>45162</v>
      </c>
    </row>
    <row r="1307" spans="1:1" x14ac:dyDescent="0.25">
      <c r="A1307" s="10">
        <v>45163</v>
      </c>
    </row>
    <row r="1308" spans="1:1" x14ac:dyDescent="0.25">
      <c r="A1308" s="10">
        <v>45164</v>
      </c>
    </row>
    <row r="1309" spans="1:1" x14ac:dyDescent="0.25">
      <c r="A1309" s="10">
        <v>45165</v>
      </c>
    </row>
    <row r="1310" spans="1:1" x14ac:dyDescent="0.25">
      <c r="A1310" s="10">
        <v>45166</v>
      </c>
    </row>
    <row r="1311" spans="1:1" x14ac:dyDescent="0.25">
      <c r="A1311" s="10">
        <v>45167</v>
      </c>
    </row>
    <row r="1312" spans="1:1" x14ac:dyDescent="0.25">
      <c r="A1312" s="10">
        <v>45168</v>
      </c>
    </row>
    <row r="1313" spans="1:1" x14ac:dyDescent="0.25">
      <c r="A1313" s="10">
        <v>45169</v>
      </c>
    </row>
    <row r="1314" spans="1:1" x14ac:dyDescent="0.25">
      <c r="A1314" s="9" t="s">
        <v>82</v>
      </c>
    </row>
    <row r="1315" spans="1:1" x14ac:dyDescent="0.25">
      <c r="A1315" s="10">
        <v>45170</v>
      </c>
    </row>
    <row r="1316" spans="1:1" x14ac:dyDescent="0.25">
      <c r="A1316" s="10">
        <v>45171</v>
      </c>
    </row>
    <row r="1317" spans="1:1" x14ac:dyDescent="0.25">
      <c r="A1317" s="10">
        <v>45172</v>
      </c>
    </row>
    <row r="1318" spans="1:1" x14ac:dyDescent="0.25">
      <c r="A1318" s="10">
        <v>45173</v>
      </c>
    </row>
    <row r="1319" spans="1:1" x14ac:dyDescent="0.25">
      <c r="A1319" s="10">
        <v>45174</v>
      </c>
    </row>
    <row r="1320" spans="1:1" x14ac:dyDescent="0.25">
      <c r="A1320" s="10">
        <v>45175</v>
      </c>
    </row>
    <row r="1321" spans="1:1" x14ac:dyDescent="0.25">
      <c r="A1321" s="10">
        <v>45176</v>
      </c>
    </row>
    <row r="1322" spans="1:1" x14ac:dyDescent="0.25">
      <c r="A1322" s="10">
        <v>45177</v>
      </c>
    </row>
    <row r="1323" spans="1:1" x14ac:dyDescent="0.25">
      <c r="A1323" s="10">
        <v>45178</v>
      </c>
    </row>
    <row r="1324" spans="1:1" x14ac:dyDescent="0.25">
      <c r="A1324" s="10">
        <v>45179</v>
      </c>
    </row>
    <row r="1325" spans="1:1" x14ac:dyDescent="0.25">
      <c r="A1325" s="10">
        <v>45180</v>
      </c>
    </row>
    <row r="1326" spans="1:1" x14ac:dyDescent="0.25">
      <c r="A1326" s="10">
        <v>45181</v>
      </c>
    </row>
    <row r="1327" spans="1:1" x14ac:dyDescent="0.25">
      <c r="A1327" s="10">
        <v>45182</v>
      </c>
    </row>
    <row r="1328" spans="1:1" x14ac:dyDescent="0.25">
      <c r="A1328" s="10">
        <v>45183</v>
      </c>
    </row>
    <row r="1329" spans="1:1" x14ac:dyDescent="0.25">
      <c r="A1329" s="10">
        <v>45184</v>
      </c>
    </row>
    <row r="1330" spans="1:1" x14ac:dyDescent="0.25">
      <c r="A1330" s="10">
        <v>45185</v>
      </c>
    </row>
    <row r="1331" spans="1:1" x14ac:dyDescent="0.25">
      <c r="A1331" s="10">
        <v>45186</v>
      </c>
    </row>
    <row r="1332" spans="1:1" x14ac:dyDescent="0.25">
      <c r="A1332" s="10">
        <v>45187</v>
      </c>
    </row>
    <row r="1333" spans="1:1" x14ac:dyDescent="0.25">
      <c r="A1333" s="10">
        <v>45188</v>
      </c>
    </row>
    <row r="1334" spans="1:1" x14ac:dyDescent="0.25">
      <c r="A1334" s="10">
        <v>45189</v>
      </c>
    </row>
    <row r="1335" spans="1:1" x14ac:dyDescent="0.25">
      <c r="A1335" s="10">
        <v>45190</v>
      </c>
    </row>
    <row r="1336" spans="1:1" x14ac:dyDescent="0.25">
      <c r="A1336" s="10">
        <v>45191</v>
      </c>
    </row>
    <row r="1337" spans="1:1" x14ac:dyDescent="0.25">
      <c r="A1337" s="10">
        <v>45192</v>
      </c>
    </row>
    <row r="1338" spans="1:1" x14ac:dyDescent="0.25">
      <c r="A1338" s="10">
        <v>45193</v>
      </c>
    </row>
    <row r="1339" spans="1:1" x14ac:dyDescent="0.25">
      <c r="A1339" s="10">
        <v>45194</v>
      </c>
    </row>
    <row r="1340" spans="1:1" x14ac:dyDescent="0.25">
      <c r="A1340" s="10">
        <v>45195</v>
      </c>
    </row>
    <row r="1341" spans="1:1" x14ac:dyDescent="0.25">
      <c r="A1341" s="10">
        <v>45196</v>
      </c>
    </row>
    <row r="1342" spans="1:1" x14ac:dyDescent="0.25">
      <c r="A1342" s="10">
        <v>45197</v>
      </c>
    </row>
    <row r="1343" spans="1:1" x14ac:dyDescent="0.25">
      <c r="A1343" s="10">
        <v>45198</v>
      </c>
    </row>
    <row r="1344" spans="1:1" x14ac:dyDescent="0.25">
      <c r="A1344" s="10">
        <v>45199</v>
      </c>
    </row>
    <row r="1345" spans="1:1" x14ac:dyDescent="0.25">
      <c r="A1345" s="8" t="s">
        <v>77</v>
      </c>
    </row>
    <row r="1346" spans="1:1" x14ac:dyDescent="0.25">
      <c r="A1346" s="9" t="s">
        <v>83</v>
      </c>
    </row>
    <row r="1347" spans="1:1" x14ac:dyDescent="0.25">
      <c r="A1347" s="10">
        <v>45200</v>
      </c>
    </row>
    <row r="1348" spans="1:1" x14ac:dyDescent="0.25">
      <c r="A1348" s="10">
        <v>45201</v>
      </c>
    </row>
    <row r="1349" spans="1:1" x14ac:dyDescent="0.25">
      <c r="A1349" s="10">
        <v>45202</v>
      </c>
    </row>
    <row r="1350" spans="1:1" x14ac:dyDescent="0.25">
      <c r="A1350" s="10">
        <v>45203</v>
      </c>
    </row>
    <row r="1351" spans="1:1" x14ac:dyDescent="0.25">
      <c r="A1351" s="10">
        <v>45204</v>
      </c>
    </row>
    <row r="1352" spans="1:1" x14ac:dyDescent="0.25">
      <c r="A1352" s="10">
        <v>45205</v>
      </c>
    </row>
    <row r="1353" spans="1:1" x14ac:dyDescent="0.25">
      <c r="A1353" s="10">
        <v>45206</v>
      </c>
    </row>
    <row r="1354" spans="1:1" x14ac:dyDescent="0.25">
      <c r="A1354" s="10">
        <v>45207</v>
      </c>
    </row>
    <row r="1355" spans="1:1" x14ac:dyDescent="0.25">
      <c r="A1355" s="10">
        <v>45208</v>
      </c>
    </row>
    <row r="1356" spans="1:1" x14ac:dyDescent="0.25">
      <c r="A1356" s="10">
        <v>45209</v>
      </c>
    </row>
    <row r="1357" spans="1:1" x14ac:dyDescent="0.25">
      <c r="A1357" s="10">
        <v>45210</v>
      </c>
    </row>
    <row r="1358" spans="1:1" x14ac:dyDescent="0.25">
      <c r="A1358" s="10">
        <v>45211</v>
      </c>
    </row>
    <row r="1359" spans="1:1" x14ac:dyDescent="0.25">
      <c r="A1359" s="10">
        <v>45212</v>
      </c>
    </row>
    <row r="1360" spans="1:1" x14ac:dyDescent="0.25">
      <c r="A1360" s="10">
        <v>45213</v>
      </c>
    </row>
    <row r="1361" spans="1:1" x14ac:dyDescent="0.25">
      <c r="A1361" s="10">
        <v>45214</v>
      </c>
    </row>
    <row r="1362" spans="1:1" x14ac:dyDescent="0.25">
      <c r="A1362" s="10">
        <v>45215</v>
      </c>
    </row>
    <row r="1363" spans="1:1" x14ac:dyDescent="0.25">
      <c r="A1363" s="10">
        <v>45216</v>
      </c>
    </row>
    <row r="1364" spans="1:1" x14ac:dyDescent="0.25">
      <c r="A1364" s="10">
        <v>45217</v>
      </c>
    </row>
    <row r="1365" spans="1:1" x14ac:dyDescent="0.25">
      <c r="A1365" s="10">
        <v>45218</v>
      </c>
    </row>
    <row r="1366" spans="1:1" x14ac:dyDescent="0.25">
      <c r="A1366" s="10">
        <v>45219</v>
      </c>
    </row>
    <row r="1367" spans="1:1" x14ac:dyDescent="0.25">
      <c r="A1367" s="10">
        <v>45220</v>
      </c>
    </row>
    <row r="1368" spans="1:1" x14ac:dyDescent="0.25">
      <c r="A1368" s="10">
        <v>45221</v>
      </c>
    </row>
    <row r="1369" spans="1:1" x14ac:dyDescent="0.25">
      <c r="A1369" s="10">
        <v>45222</v>
      </c>
    </row>
    <row r="1370" spans="1:1" x14ac:dyDescent="0.25">
      <c r="A1370" s="10">
        <v>45223</v>
      </c>
    </row>
    <row r="1371" spans="1:1" x14ac:dyDescent="0.25">
      <c r="A1371" s="10">
        <v>45224</v>
      </c>
    </row>
    <row r="1372" spans="1:1" x14ac:dyDescent="0.25">
      <c r="A1372" s="10">
        <v>45225</v>
      </c>
    </row>
    <row r="1373" spans="1:1" x14ac:dyDescent="0.25">
      <c r="A1373" s="10">
        <v>45226</v>
      </c>
    </row>
    <row r="1374" spans="1:1" x14ac:dyDescent="0.25">
      <c r="A1374" s="10">
        <v>45227</v>
      </c>
    </row>
    <row r="1375" spans="1:1" x14ac:dyDescent="0.25">
      <c r="A1375" s="10">
        <v>45228</v>
      </c>
    </row>
    <row r="1376" spans="1:1" x14ac:dyDescent="0.25">
      <c r="A1376" s="10">
        <v>45229</v>
      </c>
    </row>
    <row r="1377" spans="1:1" x14ac:dyDescent="0.25">
      <c r="A1377" s="10">
        <v>45230</v>
      </c>
    </row>
    <row r="1378" spans="1:1" x14ac:dyDescent="0.25">
      <c r="A1378" s="9" t="s">
        <v>84</v>
      </c>
    </row>
    <row r="1379" spans="1:1" x14ac:dyDescent="0.25">
      <c r="A1379" s="10">
        <v>45231</v>
      </c>
    </row>
    <row r="1380" spans="1:1" x14ac:dyDescent="0.25">
      <c r="A1380" s="10">
        <v>45232</v>
      </c>
    </row>
    <row r="1381" spans="1:1" x14ac:dyDescent="0.25">
      <c r="A1381" s="10">
        <v>45233</v>
      </c>
    </row>
    <row r="1382" spans="1:1" x14ac:dyDescent="0.25">
      <c r="A1382" s="10">
        <v>45234</v>
      </c>
    </row>
    <row r="1383" spans="1:1" x14ac:dyDescent="0.25">
      <c r="A1383" s="10">
        <v>45235</v>
      </c>
    </row>
    <row r="1384" spans="1:1" x14ac:dyDescent="0.25">
      <c r="A1384" s="10">
        <v>45236</v>
      </c>
    </row>
    <row r="1385" spans="1:1" x14ac:dyDescent="0.25">
      <c r="A1385" s="10">
        <v>45237</v>
      </c>
    </row>
    <row r="1386" spans="1:1" x14ac:dyDescent="0.25">
      <c r="A1386" s="10">
        <v>45238</v>
      </c>
    </row>
    <row r="1387" spans="1:1" x14ac:dyDescent="0.25">
      <c r="A1387" s="10">
        <v>45239</v>
      </c>
    </row>
    <row r="1388" spans="1:1" x14ac:dyDescent="0.25">
      <c r="A1388" s="10">
        <v>45240</v>
      </c>
    </row>
    <row r="1389" spans="1:1" x14ac:dyDescent="0.25">
      <c r="A1389" s="10">
        <v>45241</v>
      </c>
    </row>
    <row r="1390" spans="1:1" x14ac:dyDescent="0.25">
      <c r="A1390" s="10">
        <v>45242</v>
      </c>
    </row>
    <row r="1391" spans="1:1" x14ac:dyDescent="0.25">
      <c r="A1391" s="10">
        <v>45243</v>
      </c>
    </row>
    <row r="1392" spans="1:1" x14ac:dyDescent="0.25">
      <c r="A1392" s="10">
        <v>45244</v>
      </c>
    </row>
    <row r="1393" spans="1:1" x14ac:dyDescent="0.25">
      <c r="A1393" s="10">
        <v>45245</v>
      </c>
    </row>
    <row r="1394" spans="1:1" x14ac:dyDescent="0.25">
      <c r="A1394" s="10">
        <v>45246</v>
      </c>
    </row>
    <row r="1395" spans="1:1" x14ac:dyDescent="0.25">
      <c r="A1395" s="10">
        <v>45247</v>
      </c>
    </row>
    <row r="1396" spans="1:1" x14ac:dyDescent="0.25">
      <c r="A1396" s="10">
        <v>45248</v>
      </c>
    </row>
    <row r="1397" spans="1:1" x14ac:dyDescent="0.25">
      <c r="A1397" s="10">
        <v>45249</v>
      </c>
    </row>
    <row r="1398" spans="1:1" x14ac:dyDescent="0.25">
      <c r="A1398" s="10">
        <v>45250</v>
      </c>
    </row>
    <row r="1399" spans="1:1" x14ac:dyDescent="0.25">
      <c r="A1399" s="10">
        <v>45251</v>
      </c>
    </row>
    <row r="1400" spans="1:1" x14ac:dyDescent="0.25">
      <c r="A1400" s="10">
        <v>45252</v>
      </c>
    </row>
    <row r="1401" spans="1:1" x14ac:dyDescent="0.25">
      <c r="A1401" s="10">
        <v>45253</v>
      </c>
    </row>
    <row r="1402" spans="1:1" x14ac:dyDescent="0.25">
      <c r="A1402" s="10">
        <v>45254</v>
      </c>
    </row>
    <row r="1403" spans="1:1" x14ac:dyDescent="0.25">
      <c r="A1403" s="10">
        <v>45255</v>
      </c>
    </row>
    <row r="1404" spans="1:1" x14ac:dyDescent="0.25">
      <c r="A1404" s="10">
        <v>45256</v>
      </c>
    </row>
    <row r="1405" spans="1:1" x14ac:dyDescent="0.25">
      <c r="A1405" s="10">
        <v>45257</v>
      </c>
    </row>
    <row r="1406" spans="1:1" x14ac:dyDescent="0.25">
      <c r="A1406" s="10">
        <v>45258</v>
      </c>
    </row>
    <row r="1407" spans="1:1" x14ac:dyDescent="0.25">
      <c r="A1407" s="10">
        <v>45259</v>
      </c>
    </row>
    <row r="1408" spans="1:1" x14ac:dyDescent="0.25">
      <c r="A1408" s="10">
        <v>45260</v>
      </c>
    </row>
    <row r="1409" spans="1:1" x14ac:dyDescent="0.25">
      <c r="A1409" s="9" t="s">
        <v>85</v>
      </c>
    </row>
    <row r="1410" spans="1:1" x14ac:dyDescent="0.25">
      <c r="A1410" s="10">
        <v>45261</v>
      </c>
    </row>
    <row r="1411" spans="1:1" x14ac:dyDescent="0.25">
      <c r="A1411" s="10">
        <v>45262</v>
      </c>
    </row>
    <row r="1412" spans="1:1" x14ac:dyDescent="0.25">
      <c r="A1412" s="10">
        <v>45263</v>
      </c>
    </row>
    <row r="1413" spans="1:1" x14ac:dyDescent="0.25">
      <c r="A1413" s="10">
        <v>45264</v>
      </c>
    </row>
    <row r="1414" spans="1:1" x14ac:dyDescent="0.25">
      <c r="A1414" s="10">
        <v>45265</v>
      </c>
    </row>
    <row r="1415" spans="1:1" x14ac:dyDescent="0.25">
      <c r="A1415" s="10">
        <v>45266</v>
      </c>
    </row>
    <row r="1416" spans="1:1" x14ac:dyDescent="0.25">
      <c r="A1416" s="10">
        <v>45267</v>
      </c>
    </row>
    <row r="1417" spans="1:1" x14ac:dyDescent="0.25">
      <c r="A1417" s="10">
        <v>45268</v>
      </c>
    </row>
    <row r="1418" spans="1:1" x14ac:dyDescent="0.25">
      <c r="A1418" s="10">
        <v>45269</v>
      </c>
    </row>
    <row r="1419" spans="1:1" x14ac:dyDescent="0.25">
      <c r="A1419" s="10">
        <v>45270</v>
      </c>
    </row>
    <row r="1420" spans="1:1" x14ac:dyDescent="0.25">
      <c r="A1420" s="10">
        <v>45271</v>
      </c>
    </row>
    <row r="1421" spans="1:1" x14ac:dyDescent="0.25">
      <c r="A1421" s="10">
        <v>45272</v>
      </c>
    </row>
    <row r="1422" spans="1:1" x14ac:dyDescent="0.25">
      <c r="A1422" s="10">
        <v>45273</v>
      </c>
    </row>
    <row r="1423" spans="1:1" x14ac:dyDescent="0.25">
      <c r="A1423" s="10">
        <v>45274</v>
      </c>
    </row>
    <row r="1424" spans="1:1" x14ac:dyDescent="0.25">
      <c r="A1424" s="10">
        <v>45275</v>
      </c>
    </row>
    <row r="1425" spans="1:1" x14ac:dyDescent="0.25">
      <c r="A1425" s="10">
        <v>45276</v>
      </c>
    </row>
    <row r="1426" spans="1:1" x14ac:dyDescent="0.25">
      <c r="A1426" s="10">
        <v>45277</v>
      </c>
    </row>
    <row r="1427" spans="1:1" x14ac:dyDescent="0.25">
      <c r="A1427" s="10">
        <v>45278</v>
      </c>
    </row>
    <row r="1428" spans="1:1" x14ac:dyDescent="0.25">
      <c r="A1428" s="10">
        <v>45279</v>
      </c>
    </row>
    <row r="1429" spans="1:1" x14ac:dyDescent="0.25">
      <c r="A1429" s="10">
        <v>45280</v>
      </c>
    </row>
    <row r="1430" spans="1:1" x14ac:dyDescent="0.25">
      <c r="A1430" s="10">
        <v>45281</v>
      </c>
    </row>
    <row r="1431" spans="1:1" x14ac:dyDescent="0.25">
      <c r="A1431" s="10">
        <v>45282</v>
      </c>
    </row>
    <row r="1432" spans="1:1" x14ac:dyDescent="0.25">
      <c r="A1432" s="10">
        <v>45283</v>
      </c>
    </row>
    <row r="1433" spans="1:1" x14ac:dyDescent="0.25">
      <c r="A1433" s="10">
        <v>45284</v>
      </c>
    </row>
    <row r="1434" spans="1:1" x14ac:dyDescent="0.25">
      <c r="A1434" s="10">
        <v>45285</v>
      </c>
    </row>
    <row r="1435" spans="1:1" x14ac:dyDescent="0.25">
      <c r="A1435" s="10">
        <v>45286</v>
      </c>
    </row>
    <row r="1436" spans="1:1" x14ac:dyDescent="0.25">
      <c r="A1436" s="10">
        <v>45287</v>
      </c>
    </row>
    <row r="1437" spans="1:1" x14ac:dyDescent="0.25">
      <c r="A1437" s="10">
        <v>45288</v>
      </c>
    </row>
    <row r="1438" spans="1:1" x14ac:dyDescent="0.25">
      <c r="A1438" s="10">
        <v>45289</v>
      </c>
    </row>
    <row r="1439" spans="1:1" x14ac:dyDescent="0.25">
      <c r="A1439" s="10">
        <v>45290</v>
      </c>
    </row>
    <row r="1440" spans="1:1" x14ac:dyDescent="0.25">
      <c r="A1440" s="10">
        <v>45291</v>
      </c>
    </row>
    <row r="1441" spans="1:1" x14ac:dyDescent="0.25">
      <c r="A1441" s="7" t="s">
        <v>74</v>
      </c>
    </row>
    <row r="1442" spans="1:1" x14ac:dyDescent="0.25">
      <c r="A1442" s="8" t="s">
        <v>87</v>
      </c>
    </row>
    <row r="1443" spans="1:1" x14ac:dyDescent="0.25">
      <c r="A1443" s="9" t="s">
        <v>88</v>
      </c>
    </row>
    <row r="1444" spans="1:1" x14ac:dyDescent="0.25">
      <c r="A1444" s="10">
        <v>45292</v>
      </c>
    </row>
    <row r="1445" spans="1:1" x14ac:dyDescent="0.25">
      <c r="A1445" s="10">
        <v>45293</v>
      </c>
    </row>
    <row r="1446" spans="1:1" x14ac:dyDescent="0.25">
      <c r="A1446" s="10">
        <v>45294</v>
      </c>
    </row>
    <row r="1447" spans="1:1" x14ac:dyDescent="0.25">
      <c r="A1447" s="10">
        <v>45295</v>
      </c>
    </row>
    <row r="1448" spans="1:1" x14ac:dyDescent="0.25">
      <c r="A1448" s="10">
        <v>45296</v>
      </c>
    </row>
    <row r="1449" spans="1:1" x14ac:dyDescent="0.25">
      <c r="A1449" s="10">
        <v>45297</v>
      </c>
    </row>
    <row r="1450" spans="1:1" x14ac:dyDescent="0.25">
      <c r="A1450" s="10">
        <v>45298</v>
      </c>
    </row>
    <row r="1451" spans="1:1" x14ac:dyDescent="0.25">
      <c r="A1451" s="10">
        <v>45299</v>
      </c>
    </row>
    <row r="1452" spans="1:1" x14ac:dyDescent="0.25">
      <c r="A1452" s="10">
        <v>45300</v>
      </c>
    </row>
    <row r="1453" spans="1:1" x14ac:dyDescent="0.25">
      <c r="A1453" s="10">
        <v>45301</v>
      </c>
    </row>
    <row r="1454" spans="1:1" x14ac:dyDescent="0.25">
      <c r="A1454" s="10">
        <v>45302</v>
      </c>
    </row>
    <row r="1455" spans="1:1" x14ac:dyDescent="0.25">
      <c r="A1455" s="10">
        <v>45303</v>
      </c>
    </row>
    <row r="1456" spans="1:1" x14ac:dyDescent="0.25">
      <c r="A1456" s="10">
        <v>45304</v>
      </c>
    </row>
    <row r="1457" spans="1:1" x14ac:dyDescent="0.25">
      <c r="A1457" s="10">
        <v>45305</v>
      </c>
    </row>
    <row r="1458" spans="1:1" x14ac:dyDescent="0.25">
      <c r="A1458" s="10">
        <v>45306</v>
      </c>
    </row>
    <row r="1459" spans="1:1" x14ac:dyDescent="0.25">
      <c r="A1459" s="10">
        <v>45307</v>
      </c>
    </row>
    <row r="1460" spans="1:1" x14ac:dyDescent="0.25">
      <c r="A1460" s="10">
        <v>45308</v>
      </c>
    </row>
    <row r="1461" spans="1:1" x14ac:dyDescent="0.25">
      <c r="A1461" s="10">
        <v>45309</v>
      </c>
    </row>
    <row r="1462" spans="1:1" x14ac:dyDescent="0.25">
      <c r="A1462" s="10">
        <v>45310</v>
      </c>
    </row>
    <row r="1463" spans="1:1" x14ac:dyDescent="0.25">
      <c r="A1463" s="10">
        <v>45311</v>
      </c>
    </row>
    <row r="1464" spans="1:1" x14ac:dyDescent="0.25">
      <c r="A1464" s="10">
        <v>45312</v>
      </c>
    </row>
    <row r="1465" spans="1:1" x14ac:dyDescent="0.25">
      <c r="A1465" s="10">
        <v>45313</v>
      </c>
    </row>
    <row r="1466" spans="1:1" x14ac:dyDescent="0.25">
      <c r="A1466" s="10">
        <v>45314</v>
      </c>
    </row>
    <row r="1467" spans="1:1" x14ac:dyDescent="0.25">
      <c r="A1467" s="10">
        <v>45315</v>
      </c>
    </row>
    <row r="1468" spans="1:1" x14ac:dyDescent="0.25">
      <c r="A1468" s="10">
        <v>45316</v>
      </c>
    </row>
    <row r="1469" spans="1:1" x14ac:dyDescent="0.25">
      <c r="A1469" s="10">
        <v>45317</v>
      </c>
    </row>
    <row r="1470" spans="1:1" x14ac:dyDescent="0.25">
      <c r="A1470" s="10">
        <v>45318</v>
      </c>
    </row>
    <row r="1471" spans="1:1" x14ac:dyDescent="0.25">
      <c r="A1471" s="10">
        <v>45319</v>
      </c>
    </row>
    <row r="1472" spans="1:1" x14ac:dyDescent="0.25">
      <c r="A1472" s="10">
        <v>45320</v>
      </c>
    </row>
    <row r="1473" spans="1:1" x14ac:dyDescent="0.25">
      <c r="A1473" s="10">
        <v>45321</v>
      </c>
    </row>
    <row r="1474" spans="1:1" x14ac:dyDescent="0.25">
      <c r="A1474" s="10">
        <v>45322</v>
      </c>
    </row>
    <row r="1475" spans="1:1" x14ac:dyDescent="0.25">
      <c r="A1475" s="9" t="s">
        <v>89</v>
      </c>
    </row>
    <row r="1476" spans="1:1" x14ac:dyDescent="0.25">
      <c r="A1476" s="10">
        <v>45323</v>
      </c>
    </row>
    <row r="1477" spans="1:1" x14ac:dyDescent="0.25">
      <c r="A1477" s="10">
        <v>45324</v>
      </c>
    </row>
    <row r="1478" spans="1:1" x14ac:dyDescent="0.25">
      <c r="A1478" s="10">
        <v>45325</v>
      </c>
    </row>
    <row r="1479" spans="1:1" x14ac:dyDescent="0.25">
      <c r="A1479" s="10">
        <v>45326</v>
      </c>
    </row>
    <row r="1480" spans="1:1" x14ac:dyDescent="0.25">
      <c r="A1480" s="10">
        <v>45327</v>
      </c>
    </row>
    <row r="1481" spans="1:1" x14ac:dyDescent="0.25">
      <c r="A1481" s="10">
        <v>45328</v>
      </c>
    </row>
    <row r="1482" spans="1:1" x14ac:dyDescent="0.25">
      <c r="A1482" s="10">
        <v>45329</v>
      </c>
    </row>
    <row r="1483" spans="1:1" x14ac:dyDescent="0.25">
      <c r="A1483" s="10">
        <v>45330</v>
      </c>
    </row>
    <row r="1484" spans="1:1" x14ac:dyDescent="0.25">
      <c r="A1484" s="10">
        <v>45331</v>
      </c>
    </row>
    <row r="1485" spans="1:1" x14ac:dyDescent="0.25">
      <c r="A1485" s="10">
        <v>45332</v>
      </c>
    </row>
    <row r="1486" spans="1:1" x14ac:dyDescent="0.25">
      <c r="A1486" s="10">
        <v>45333</v>
      </c>
    </row>
    <row r="1487" spans="1:1" x14ac:dyDescent="0.25">
      <c r="A1487" s="10">
        <v>45334</v>
      </c>
    </row>
    <row r="1488" spans="1:1" x14ac:dyDescent="0.25">
      <c r="A1488" s="10">
        <v>45335</v>
      </c>
    </row>
    <row r="1489" spans="1:1" x14ac:dyDescent="0.25">
      <c r="A1489" s="10">
        <v>45336</v>
      </c>
    </row>
    <row r="1490" spans="1:1" x14ac:dyDescent="0.25">
      <c r="A1490" s="10">
        <v>45337</v>
      </c>
    </row>
    <row r="1491" spans="1:1" x14ac:dyDescent="0.25">
      <c r="A1491" s="10">
        <v>45338</v>
      </c>
    </row>
    <row r="1492" spans="1:1" x14ac:dyDescent="0.25">
      <c r="A1492" s="10">
        <v>45339</v>
      </c>
    </row>
    <row r="1493" spans="1:1" x14ac:dyDescent="0.25">
      <c r="A1493" s="10">
        <v>45340</v>
      </c>
    </row>
    <row r="1494" spans="1:1" x14ac:dyDescent="0.25">
      <c r="A1494" s="10">
        <v>45341</v>
      </c>
    </row>
    <row r="1495" spans="1:1" x14ac:dyDescent="0.25">
      <c r="A1495" s="10">
        <v>45342</v>
      </c>
    </row>
    <row r="1496" spans="1:1" x14ac:dyDescent="0.25">
      <c r="A1496" s="10">
        <v>45343</v>
      </c>
    </row>
    <row r="1497" spans="1:1" x14ac:dyDescent="0.25">
      <c r="A1497" s="10">
        <v>45344</v>
      </c>
    </row>
    <row r="1498" spans="1:1" x14ac:dyDescent="0.25">
      <c r="A1498" s="10">
        <v>45345</v>
      </c>
    </row>
    <row r="1499" spans="1:1" x14ac:dyDescent="0.25">
      <c r="A1499" s="10">
        <v>45346</v>
      </c>
    </row>
    <row r="1500" spans="1:1" x14ac:dyDescent="0.25">
      <c r="A1500" s="10">
        <v>45347</v>
      </c>
    </row>
    <row r="1501" spans="1:1" x14ac:dyDescent="0.25">
      <c r="A1501" s="10">
        <v>45348</v>
      </c>
    </row>
    <row r="1502" spans="1:1" x14ac:dyDescent="0.25">
      <c r="A1502" s="10">
        <v>45349</v>
      </c>
    </row>
    <row r="1503" spans="1:1" x14ac:dyDescent="0.25">
      <c r="A1503" s="10">
        <v>45350</v>
      </c>
    </row>
    <row r="1504" spans="1:1" x14ac:dyDescent="0.25">
      <c r="A1504" s="10">
        <v>45351</v>
      </c>
    </row>
    <row r="1505" spans="1:1" x14ac:dyDescent="0.25">
      <c r="A1505" s="9" t="s">
        <v>90</v>
      </c>
    </row>
    <row r="1506" spans="1:1" x14ac:dyDescent="0.25">
      <c r="A1506" s="10">
        <v>45352</v>
      </c>
    </row>
    <row r="1507" spans="1:1" x14ac:dyDescent="0.25">
      <c r="A1507" s="10">
        <v>45353</v>
      </c>
    </row>
    <row r="1508" spans="1:1" x14ac:dyDescent="0.25">
      <c r="A1508" s="10">
        <v>45354</v>
      </c>
    </row>
    <row r="1509" spans="1:1" x14ac:dyDescent="0.25">
      <c r="A1509" s="10">
        <v>45355</v>
      </c>
    </row>
    <row r="1510" spans="1:1" x14ac:dyDescent="0.25">
      <c r="A1510" s="10">
        <v>45356</v>
      </c>
    </row>
    <row r="1511" spans="1:1" x14ac:dyDescent="0.25">
      <c r="A1511" s="10">
        <v>45357</v>
      </c>
    </row>
    <row r="1512" spans="1:1" x14ac:dyDescent="0.25">
      <c r="A1512" s="10">
        <v>45358</v>
      </c>
    </row>
    <row r="1513" spans="1:1" x14ac:dyDescent="0.25">
      <c r="A1513" s="10">
        <v>45359</v>
      </c>
    </row>
    <row r="1514" spans="1:1" x14ac:dyDescent="0.25">
      <c r="A1514" s="10">
        <v>45360</v>
      </c>
    </row>
    <row r="1515" spans="1:1" x14ac:dyDescent="0.25">
      <c r="A1515" s="10">
        <v>45361</v>
      </c>
    </row>
    <row r="1516" spans="1:1" x14ac:dyDescent="0.25">
      <c r="A1516" s="10">
        <v>45362</v>
      </c>
    </row>
    <row r="1517" spans="1:1" x14ac:dyDescent="0.25">
      <c r="A1517" s="10">
        <v>45363</v>
      </c>
    </row>
    <row r="1518" spans="1:1" x14ac:dyDescent="0.25">
      <c r="A1518" s="10">
        <v>45364</v>
      </c>
    </row>
    <row r="1519" spans="1:1" x14ac:dyDescent="0.25">
      <c r="A1519" s="10">
        <v>45365</v>
      </c>
    </row>
    <row r="1520" spans="1:1" x14ac:dyDescent="0.25">
      <c r="A1520" s="10">
        <v>45366</v>
      </c>
    </row>
    <row r="1521" spans="1:1" x14ac:dyDescent="0.25">
      <c r="A1521" s="10">
        <v>45367</v>
      </c>
    </row>
    <row r="1522" spans="1:1" x14ac:dyDescent="0.25">
      <c r="A1522" s="10">
        <v>45368</v>
      </c>
    </row>
    <row r="1523" spans="1:1" x14ac:dyDescent="0.25">
      <c r="A1523" s="10">
        <v>45369</v>
      </c>
    </row>
    <row r="1524" spans="1:1" x14ac:dyDescent="0.25">
      <c r="A1524" s="10">
        <v>45370</v>
      </c>
    </row>
    <row r="1525" spans="1:1" x14ac:dyDescent="0.25">
      <c r="A1525" s="10">
        <v>45371</v>
      </c>
    </row>
    <row r="1526" spans="1:1" x14ac:dyDescent="0.25">
      <c r="A1526" s="10">
        <v>45372</v>
      </c>
    </row>
    <row r="1527" spans="1:1" x14ac:dyDescent="0.25">
      <c r="A1527" s="10">
        <v>45373</v>
      </c>
    </row>
    <row r="1528" spans="1:1" x14ac:dyDescent="0.25">
      <c r="A1528" s="10">
        <v>45374</v>
      </c>
    </row>
    <row r="1529" spans="1:1" x14ac:dyDescent="0.25">
      <c r="A1529" s="10">
        <v>45375</v>
      </c>
    </row>
    <row r="1530" spans="1:1" x14ac:dyDescent="0.25">
      <c r="A1530" s="10">
        <v>45376</v>
      </c>
    </row>
    <row r="1531" spans="1:1" x14ac:dyDescent="0.25">
      <c r="A1531" s="10">
        <v>45377</v>
      </c>
    </row>
    <row r="1532" spans="1:1" x14ac:dyDescent="0.25">
      <c r="A1532" s="10">
        <v>45378</v>
      </c>
    </row>
    <row r="1533" spans="1:1" x14ac:dyDescent="0.25">
      <c r="A1533" s="10">
        <v>45379</v>
      </c>
    </row>
    <row r="1534" spans="1:1" x14ac:dyDescent="0.25">
      <c r="A1534" s="10">
        <v>45380</v>
      </c>
    </row>
    <row r="1535" spans="1:1" x14ac:dyDescent="0.25">
      <c r="A1535" s="10">
        <v>45381</v>
      </c>
    </row>
    <row r="1536" spans="1:1" x14ac:dyDescent="0.25">
      <c r="A1536" s="10">
        <v>45382</v>
      </c>
    </row>
    <row r="1537" spans="1:1" x14ac:dyDescent="0.25">
      <c r="A1537" s="7" t="s">
        <v>69</v>
      </c>
    </row>
  </sheetData>
  <sheetProtection algorithmName="SHA-512" hashValue="ym2ZeJQdFcyLoqMmS+3y0F74ZdTcLWV7phr1vVanO/QNi8srRfZ1NT8t+e1EDfeuxRKv5zaqEkSHd2gVpGuTKA==" saltValue="K1jJY3o6wED3P2kMZ45YNA==" spinCount="100000"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5C65-0A96-498E-8E9F-1466EC1CD993}">
  <dimension ref="A3:E22"/>
  <sheetViews>
    <sheetView tabSelected="1" workbookViewId="0">
      <selection activeCell="A13" sqref="A13"/>
    </sheetView>
  </sheetViews>
  <sheetFormatPr defaultRowHeight="15" x14ac:dyDescent="0.25"/>
  <cols>
    <col min="1" max="1" width="13.140625" bestFit="1" customWidth="1"/>
    <col min="2" max="3" width="23" bestFit="1" customWidth="1"/>
    <col min="4" max="4" width="13.140625" bestFit="1" customWidth="1"/>
    <col min="5" max="5" width="23" bestFit="1" customWidth="1"/>
  </cols>
  <sheetData>
    <row r="3" spans="1:5" x14ac:dyDescent="0.25">
      <c r="A3" s="6" t="s">
        <v>68</v>
      </c>
      <c r="B3" s="14" t="s">
        <v>66</v>
      </c>
      <c r="D3" s="6" t="s">
        <v>68</v>
      </c>
      <c r="E3" t="s">
        <v>66</v>
      </c>
    </row>
    <row r="4" spans="1:5" x14ac:dyDescent="0.25">
      <c r="A4" s="7" t="s">
        <v>38</v>
      </c>
      <c r="B4" s="14">
        <v>1713488887</v>
      </c>
      <c r="D4" s="7" t="s">
        <v>32</v>
      </c>
      <c r="E4" s="2">
        <v>1613373119</v>
      </c>
    </row>
    <row r="5" spans="1:5" x14ac:dyDescent="0.25">
      <c r="A5" s="7" t="s">
        <v>34</v>
      </c>
      <c r="B5" s="14">
        <v>1448980507</v>
      </c>
      <c r="D5" s="7" t="s">
        <v>30</v>
      </c>
      <c r="E5" s="2">
        <v>1669058159</v>
      </c>
    </row>
    <row r="6" spans="1:5" x14ac:dyDescent="0.25">
      <c r="A6" s="7" t="s">
        <v>25</v>
      </c>
      <c r="B6" s="14">
        <v>1374292250</v>
      </c>
      <c r="D6" s="7" t="s">
        <v>44</v>
      </c>
      <c r="E6" s="2">
        <v>1694727266</v>
      </c>
    </row>
    <row r="7" spans="1:5" x14ac:dyDescent="0.25">
      <c r="A7" s="7" t="s">
        <v>15</v>
      </c>
      <c r="B7" s="14">
        <v>1055082923</v>
      </c>
      <c r="D7" s="7" t="s">
        <v>45</v>
      </c>
      <c r="E7" s="2">
        <v>1798800532</v>
      </c>
    </row>
    <row r="8" spans="1:5" x14ac:dyDescent="0.25">
      <c r="A8" s="7" t="s">
        <v>59</v>
      </c>
      <c r="B8" s="14">
        <v>978884382</v>
      </c>
      <c r="D8" s="7" t="s">
        <v>28</v>
      </c>
      <c r="E8" s="2">
        <v>1840805250</v>
      </c>
    </row>
    <row r="9" spans="1:5" x14ac:dyDescent="0.25">
      <c r="D9" s="7" t="s">
        <v>69</v>
      </c>
      <c r="E9" s="2">
        <v>8616764326</v>
      </c>
    </row>
    <row r="13" spans="1:5" x14ac:dyDescent="0.25">
      <c r="A13" s="6" t="s">
        <v>68</v>
      </c>
      <c r="B13" s="14" t="s">
        <v>66</v>
      </c>
    </row>
    <row r="14" spans="1:5" x14ac:dyDescent="0.25">
      <c r="A14" s="7" t="s">
        <v>47</v>
      </c>
      <c r="B14" s="14">
        <v>1361291685</v>
      </c>
    </row>
    <row r="15" spans="1:5" x14ac:dyDescent="0.25">
      <c r="A15" s="7" t="s">
        <v>23</v>
      </c>
      <c r="B15" s="14">
        <v>1499288145</v>
      </c>
    </row>
    <row r="16" spans="1:5" x14ac:dyDescent="0.25">
      <c r="A16" s="7" t="s">
        <v>18</v>
      </c>
      <c r="B16" s="14">
        <v>1590178093</v>
      </c>
    </row>
    <row r="17" spans="1:2" x14ac:dyDescent="0.25">
      <c r="A17" s="7" t="s">
        <v>50</v>
      </c>
      <c r="B17" s="14">
        <v>1593657715</v>
      </c>
    </row>
    <row r="18" spans="1:2" x14ac:dyDescent="0.25">
      <c r="A18" s="7" t="s">
        <v>32</v>
      </c>
      <c r="B18" s="14">
        <v>1613373119</v>
      </c>
    </row>
    <row r="19" spans="1:2" x14ac:dyDescent="0.25">
      <c r="A19" s="7" t="s">
        <v>30</v>
      </c>
      <c r="B19" s="14">
        <v>1669058159</v>
      </c>
    </row>
    <row r="20" spans="1:2" x14ac:dyDescent="0.25">
      <c r="A20" s="7" t="s">
        <v>44</v>
      </c>
      <c r="B20" s="14">
        <v>1694727266</v>
      </c>
    </row>
    <row r="21" spans="1:2" x14ac:dyDescent="0.25">
      <c r="A21" s="7" t="s">
        <v>45</v>
      </c>
      <c r="B21" s="14">
        <v>1798800532</v>
      </c>
    </row>
    <row r="22" spans="1:2" x14ac:dyDescent="0.25">
      <c r="A22" s="7" t="s">
        <v>28</v>
      </c>
      <c r="B22" s="14">
        <v>1840805250</v>
      </c>
    </row>
  </sheetData>
  <sheetProtection algorithmName="SHA-512" hashValue="4Vl2GHE/R/KrbUqxKnpW4wtHM707GWsJz8F2S6JA9M/902f4/6cCSjutjv07/+0DKZcYESPbZ1jjdgmLl/YmQg==" saltValue="6XwpY15FkXDKNgrRNJOv2A==" spinCount="100000"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6EC27-934E-48E1-B847-241DD31EC46F}">
  <dimension ref="A1:T52"/>
  <sheetViews>
    <sheetView showGridLines="0" topLeftCell="A34" zoomScaleNormal="100" workbookViewId="0">
      <selection activeCell="K53" sqref="K53"/>
    </sheetView>
  </sheetViews>
  <sheetFormatPr defaultRowHeight="15" x14ac:dyDescent="0.25"/>
  <cols>
    <col min="2" max="2" width="9.7109375" customWidth="1"/>
    <col min="3" max="3" width="6.140625" customWidth="1"/>
  </cols>
  <sheetData>
    <row r="1" spans="1:20" x14ac:dyDescent="0.25">
      <c r="A1" s="17" t="s">
        <v>100</v>
      </c>
      <c r="B1" s="18"/>
      <c r="C1" s="18"/>
      <c r="D1" s="18"/>
      <c r="E1" s="18"/>
      <c r="F1" s="18"/>
      <c r="G1" s="18"/>
      <c r="H1" s="18"/>
      <c r="I1" s="18"/>
      <c r="J1" s="18"/>
      <c r="K1" s="18"/>
      <c r="L1" s="18"/>
      <c r="M1" s="18"/>
      <c r="N1" s="18"/>
      <c r="O1" s="18"/>
      <c r="P1" s="18"/>
      <c r="Q1" s="18"/>
      <c r="R1" s="18"/>
      <c r="S1" s="19"/>
    </row>
    <row r="2" spans="1:20" x14ac:dyDescent="0.25">
      <c r="A2" s="20"/>
      <c r="B2" s="21"/>
      <c r="C2" s="21"/>
      <c r="D2" s="21"/>
      <c r="E2" s="21"/>
      <c r="F2" s="21"/>
      <c r="G2" s="21"/>
      <c r="H2" s="21"/>
      <c r="I2" s="21"/>
      <c r="J2" s="21"/>
      <c r="K2" s="21"/>
      <c r="L2" s="21"/>
      <c r="M2" s="21"/>
      <c r="N2" s="21"/>
      <c r="O2" s="21"/>
      <c r="P2" s="21"/>
      <c r="Q2" s="21"/>
      <c r="R2" s="21"/>
      <c r="S2" s="22"/>
    </row>
    <row r="3" spans="1:20" x14ac:dyDescent="0.25">
      <c r="A3" s="20"/>
      <c r="B3" s="21"/>
      <c r="C3" s="21"/>
      <c r="D3" s="21"/>
      <c r="E3" s="21"/>
      <c r="F3" s="21"/>
      <c r="G3" s="21"/>
      <c r="H3" s="21"/>
      <c r="I3" s="21"/>
      <c r="J3" s="21"/>
      <c r="K3" s="21"/>
      <c r="L3" s="21"/>
      <c r="M3" s="21"/>
      <c r="N3" s="21"/>
      <c r="O3" s="21"/>
      <c r="P3" s="21"/>
      <c r="Q3" s="21"/>
      <c r="R3" s="21"/>
      <c r="S3" s="22"/>
    </row>
    <row r="4" spans="1:20" x14ac:dyDescent="0.25">
      <c r="A4" s="20"/>
      <c r="B4" s="21"/>
      <c r="C4" s="21"/>
      <c r="D4" s="21"/>
      <c r="E4" s="21"/>
      <c r="F4" s="21"/>
      <c r="G4" s="21"/>
      <c r="H4" s="21"/>
      <c r="I4" s="21"/>
      <c r="J4" s="21"/>
      <c r="K4" s="21"/>
      <c r="L4" s="21"/>
      <c r="M4" s="21"/>
      <c r="N4" s="21"/>
      <c r="O4" s="21"/>
      <c r="P4" s="21"/>
      <c r="Q4" s="21"/>
      <c r="R4" s="21"/>
      <c r="S4" s="22"/>
    </row>
    <row r="5" spans="1:20" x14ac:dyDescent="0.25">
      <c r="A5" s="23"/>
      <c r="B5" s="16"/>
      <c r="C5" s="16"/>
      <c r="D5" s="16"/>
      <c r="E5" s="16"/>
      <c r="F5" s="16"/>
      <c r="G5" s="16"/>
      <c r="H5" s="16"/>
      <c r="I5" s="16"/>
      <c r="J5" s="16"/>
      <c r="K5" s="16"/>
      <c r="L5" s="16"/>
      <c r="M5" s="16"/>
      <c r="N5" s="16"/>
      <c r="O5" s="16"/>
      <c r="P5" s="16"/>
      <c r="Q5" s="16"/>
      <c r="R5" s="16"/>
      <c r="S5" s="24"/>
    </row>
    <row r="6" spans="1:20" x14ac:dyDescent="0.25">
      <c r="A6" s="23"/>
      <c r="B6" s="16"/>
      <c r="C6" s="16"/>
      <c r="D6" s="16"/>
      <c r="E6" s="16"/>
      <c r="F6" s="16"/>
      <c r="G6" s="16"/>
      <c r="H6" s="16"/>
      <c r="I6" s="16"/>
      <c r="J6" s="16"/>
      <c r="K6" s="16"/>
      <c r="L6" s="16"/>
      <c r="M6" s="16"/>
      <c r="N6" s="16"/>
      <c r="O6" s="16"/>
      <c r="P6" s="16"/>
      <c r="Q6" s="16"/>
      <c r="R6" s="16"/>
      <c r="S6" s="24"/>
    </row>
    <row r="7" spans="1:20" x14ac:dyDescent="0.25">
      <c r="A7" s="23"/>
      <c r="B7" s="16"/>
      <c r="C7" s="16"/>
      <c r="D7" s="16"/>
      <c r="E7" s="16"/>
      <c r="F7" s="16"/>
      <c r="G7" s="16"/>
      <c r="H7" s="16"/>
      <c r="I7" s="16"/>
      <c r="J7" s="16"/>
      <c r="K7" s="16"/>
      <c r="L7" s="16"/>
      <c r="M7" s="16"/>
      <c r="N7" s="16"/>
      <c r="O7" s="16"/>
      <c r="P7" s="16"/>
      <c r="Q7" s="16"/>
      <c r="R7" s="16"/>
      <c r="S7" s="24"/>
    </row>
    <row r="8" spans="1:20" x14ac:dyDescent="0.25">
      <c r="A8" s="23"/>
      <c r="B8" s="16"/>
      <c r="C8" s="16"/>
      <c r="D8" s="16"/>
      <c r="E8" s="16"/>
      <c r="F8" s="16"/>
      <c r="G8" s="16"/>
      <c r="H8" s="16"/>
      <c r="I8" s="16"/>
      <c r="J8" s="16"/>
      <c r="K8" s="16"/>
      <c r="L8" s="16"/>
      <c r="M8" s="16"/>
      <c r="N8" s="16"/>
      <c r="O8" s="16"/>
      <c r="P8" s="16"/>
      <c r="Q8" s="16"/>
      <c r="R8" s="16"/>
      <c r="S8" s="24"/>
    </row>
    <row r="9" spans="1:20" x14ac:dyDescent="0.25">
      <c r="A9" s="23"/>
      <c r="B9" s="16"/>
      <c r="C9" s="16"/>
      <c r="D9" s="16"/>
      <c r="E9" s="16"/>
      <c r="F9" s="16"/>
      <c r="G9" s="16"/>
      <c r="H9" s="16"/>
      <c r="I9" s="16"/>
      <c r="J9" s="16"/>
      <c r="K9" s="16"/>
      <c r="L9" s="16"/>
      <c r="M9" s="16"/>
      <c r="N9" s="16"/>
      <c r="O9" s="16"/>
      <c r="P9" s="16"/>
      <c r="Q9" s="16"/>
      <c r="R9" s="16"/>
      <c r="S9" s="24"/>
      <c r="T9" s="15"/>
    </row>
    <row r="10" spans="1:20" x14ac:dyDescent="0.25">
      <c r="A10" s="23"/>
      <c r="B10" s="16"/>
      <c r="C10" s="16"/>
      <c r="D10" s="16"/>
      <c r="E10" s="16"/>
      <c r="F10" s="16"/>
      <c r="G10" s="16"/>
      <c r="H10" s="16"/>
      <c r="I10" s="16"/>
      <c r="J10" s="16"/>
      <c r="K10" s="16"/>
      <c r="L10" s="16"/>
      <c r="M10" s="16"/>
      <c r="N10" s="16"/>
      <c r="O10" s="16"/>
      <c r="P10" s="16"/>
      <c r="Q10" s="16"/>
      <c r="R10" s="16"/>
      <c r="S10" s="24"/>
    </row>
    <row r="11" spans="1:20" x14ac:dyDescent="0.25">
      <c r="A11" s="23"/>
      <c r="B11" s="16"/>
      <c r="C11" s="16"/>
      <c r="D11" s="16"/>
      <c r="E11" s="16"/>
      <c r="F11" s="16"/>
      <c r="G11" s="16"/>
      <c r="H11" s="16"/>
      <c r="I11" s="16"/>
      <c r="J11" s="16"/>
      <c r="K11" s="16"/>
      <c r="L11" s="16"/>
      <c r="M11" s="16"/>
      <c r="N11" s="16"/>
      <c r="O11" s="16"/>
      <c r="P11" s="16"/>
      <c r="Q11" s="16"/>
      <c r="R11" s="16"/>
      <c r="S11" s="24"/>
    </row>
    <row r="12" spans="1:20" x14ac:dyDescent="0.25">
      <c r="A12" s="23"/>
      <c r="B12" s="16"/>
      <c r="C12" s="16"/>
      <c r="D12" s="16"/>
      <c r="E12" s="16"/>
      <c r="F12" s="16"/>
      <c r="G12" s="16"/>
      <c r="H12" s="16"/>
      <c r="I12" s="16"/>
      <c r="J12" s="16"/>
      <c r="K12" s="16"/>
      <c r="L12" s="16"/>
      <c r="M12" s="16"/>
      <c r="N12" s="16"/>
      <c r="O12" s="16"/>
      <c r="P12" s="16"/>
      <c r="Q12" s="16"/>
      <c r="R12" s="16"/>
      <c r="S12" s="24"/>
    </row>
    <row r="13" spans="1:20" x14ac:dyDescent="0.25">
      <c r="A13" s="23"/>
      <c r="B13" s="16"/>
      <c r="C13" s="16"/>
      <c r="D13" s="16"/>
      <c r="E13" s="16"/>
      <c r="F13" s="16"/>
      <c r="G13" s="16"/>
      <c r="H13" s="16"/>
      <c r="I13" s="16"/>
      <c r="J13" s="16"/>
      <c r="K13" s="16"/>
      <c r="L13" s="16"/>
      <c r="M13" s="16"/>
      <c r="N13" s="16"/>
      <c r="O13" s="16"/>
      <c r="P13" s="16"/>
      <c r="Q13" s="16"/>
      <c r="R13" s="16"/>
      <c r="S13" s="24"/>
    </row>
    <row r="14" spans="1:20" x14ac:dyDescent="0.25">
      <c r="A14" s="23"/>
      <c r="B14" s="16"/>
      <c r="C14" s="16"/>
      <c r="D14" s="16"/>
      <c r="E14" s="16"/>
      <c r="F14" s="16"/>
      <c r="G14" s="16"/>
      <c r="H14" s="16"/>
      <c r="I14" s="16"/>
      <c r="J14" s="16"/>
      <c r="K14" s="16"/>
      <c r="L14" s="16"/>
      <c r="M14" s="16"/>
      <c r="N14" s="16"/>
      <c r="O14" s="16"/>
      <c r="P14" s="16"/>
      <c r="Q14" s="16"/>
      <c r="R14" s="16"/>
      <c r="S14" s="24"/>
    </row>
    <row r="15" spans="1:20" x14ac:dyDescent="0.25">
      <c r="A15" s="23"/>
      <c r="B15" s="16"/>
      <c r="C15" s="16"/>
      <c r="D15" s="16"/>
      <c r="E15" s="16"/>
      <c r="F15" s="16"/>
      <c r="G15" s="16"/>
      <c r="H15" s="16"/>
      <c r="I15" s="16"/>
      <c r="J15" s="16"/>
      <c r="K15" s="16"/>
      <c r="L15" s="16"/>
      <c r="M15" s="16"/>
      <c r="N15" s="16"/>
      <c r="O15" s="16"/>
      <c r="P15" s="16"/>
      <c r="Q15" s="16"/>
      <c r="R15" s="16"/>
      <c r="S15" s="24"/>
    </row>
    <row r="16" spans="1:20" x14ac:dyDescent="0.25">
      <c r="A16" s="23"/>
      <c r="B16" s="16"/>
      <c r="C16" s="16"/>
      <c r="D16" s="16"/>
      <c r="E16" s="16"/>
      <c r="F16" s="16"/>
      <c r="G16" s="16"/>
      <c r="H16" s="16"/>
      <c r="I16" s="16"/>
      <c r="J16" s="16"/>
      <c r="K16" s="16"/>
      <c r="L16" s="16"/>
      <c r="M16" s="16"/>
      <c r="N16" s="16"/>
      <c r="O16" s="16"/>
      <c r="P16" s="16"/>
      <c r="Q16" s="16"/>
      <c r="R16" s="16"/>
      <c r="S16" s="24"/>
    </row>
    <row r="17" spans="1:19" x14ac:dyDescent="0.25">
      <c r="A17" s="23"/>
      <c r="B17" s="16"/>
      <c r="C17" s="16"/>
      <c r="D17" s="16"/>
      <c r="E17" s="16"/>
      <c r="F17" s="16"/>
      <c r="G17" s="16"/>
      <c r="H17" s="16"/>
      <c r="I17" s="16"/>
      <c r="J17" s="16"/>
      <c r="K17" s="16"/>
      <c r="L17" s="16"/>
      <c r="M17" s="16"/>
      <c r="N17" s="16"/>
      <c r="O17" s="16"/>
      <c r="P17" s="16"/>
      <c r="Q17" s="16"/>
      <c r="R17" s="16"/>
      <c r="S17" s="24"/>
    </row>
    <row r="18" spans="1:19" x14ac:dyDescent="0.25">
      <c r="A18" s="23"/>
      <c r="B18" s="16"/>
      <c r="C18" s="16"/>
      <c r="D18" s="16"/>
      <c r="E18" s="16"/>
      <c r="F18" s="16"/>
      <c r="G18" s="16"/>
      <c r="H18" s="16"/>
      <c r="I18" s="16"/>
      <c r="J18" s="16"/>
      <c r="K18" s="16"/>
      <c r="L18" s="16"/>
      <c r="M18" s="16"/>
      <c r="N18" s="16"/>
      <c r="O18" s="16"/>
      <c r="P18" s="16"/>
      <c r="Q18" s="16"/>
      <c r="R18" s="16"/>
      <c r="S18" s="24"/>
    </row>
    <row r="19" spans="1:19" x14ac:dyDescent="0.25">
      <c r="A19" s="23"/>
      <c r="B19" s="16"/>
      <c r="C19" s="16"/>
      <c r="D19" s="16"/>
      <c r="E19" s="16"/>
      <c r="F19" s="16"/>
      <c r="G19" s="16"/>
      <c r="H19" s="16"/>
      <c r="I19" s="16"/>
      <c r="J19" s="16"/>
      <c r="K19" s="16"/>
      <c r="L19" s="16"/>
      <c r="M19" s="16"/>
      <c r="N19" s="16"/>
      <c r="O19" s="16"/>
      <c r="P19" s="16"/>
      <c r="Q19" s="16"/>
      <c r="R19" s="16"/>
      <c r="S19" s="24"/>
    </row>
    <row r="20" spans="1:19" x14ac:dyDescent="0.25">
      <c r="A20" s="23"/>
      <c r="B20" s="16"/>
      <c r="C20" s="16"/>
      <c r="D20" s="16"/>
      <c r="E20" s="16"/>
      <c r="F20" s="16"/>
      <c r="G20" s="16"/>
      <c r="H20" s="16"/>
      <c r="I20" s="16"/>
      <c r="J20" s="16"/>
      <c r="K20" s="16"/>
      <c r="L20" s="16"/>
      <c r="M20" s="16"/>
      <c r="N20" s="16"/>
      <c r="O20" s="16"/>
      <c r="P20" s="16"/>
      <c r="Q20" s="16"/>
      <c r="R20" s="16"/>
      <c r="S20" s="24"/>
    </row>
    <row r="21" spans="1:19" x14ac:dyDescent="0.25">
      <c r="A21" s="23"/>
      <c r="B21" s="16"/>
      <c r="C21" s="16"/>
      <c r="D21" s="16"/>
      <c r="E21" s="16"/>
      <c r="F21" s="16"/>
      <c r="G21" s="16"/>
      <c r="H21" s="16"/>
      <c r="I21" s="16"/>
      <c r="J21" s="16"/>
      <c r="K21" s="16"/>
      <c r="L21" s="16"/>
      <c r="M21" s="16"/>
      <c r="N21" s="16"/>
      <c r="O21" s="16"/>
      <c r="P21" s="16"/>
      <c r="Q21" s="16"/>
      <c r="R21" s="16"/>
      <c r="S21" s="24"/>
    </row>
    <row r="22" spans="1:19" x14ac:dyDescent="0.25">
      <c r="A22" s="23"/>
      <c r="B22" s="16"/>
      <c r="C22" s="16"/>
      <c r="D22" s="16"/>
      <c r="E22" s="16"/>
      <c r="F22" s="16"/>
      <c r="G22" s="16"/>
      <c r="H22" s="16"/>
      <c r="I22" s="16"/>
      <c r="J22" s="16"/>
      <c r="K22" s="16"/>
      <c r="L22" s="16"/>
      <c r="M22" s="16"/>
      <c r="N22" s="16"/>
      <c r="O22" s="16"/>
      <c r="P22" s="16"/>
      <c r="Q22" s="16"/>
      <c r="R22" s="16"/>
      <c r="S22" s="24"/>
    </row>
    <row r="23" spans="1:19" x14ac:dyDescent="0.25">
      <c r="A23" s="23"/>
      <c r="B23" s="16"/>
      <c r="C23" s="16"/>
      <c r="D23" s="16"/>
      <c r="E23" s="16"/>
      <c r="F23" s="16"/>
      <c r="G23" s="16"/>
      <c r="H23" s="16"/>
      <c r="I23" s="16"/>
      <c r="J23" s="16"/>
      <c r="K23" s="16"/>
      <c r="L23" s="16"/>
      <c r="M23" s="16"/>
      <c r="N23" s="16"/>
      <c r="O23" s="16"/>
      <c r="P23" s="16"/>
      <c r="Q23" s="16"/>
      <c r="R23" s="16"/>
      <c r="S23" s="24"/>
    </row>
    <row r="24" spans="1:19" x14ac:dyDescent="0.25">
      <c r="A24" s="23"/>
      <c r="B24" s="16"/>
      <c r="C24" s="16"/>
      <c r="D24" s="16"/>
      <c r="E24" s="16"/>
      <c r="F24" s="16"/>
      <c r="G24" s="16"/>
      <c r="H24" s="16"/>
      <c r="I24" s="16"/>
      <c r="J24" s="16"/>
      <c r="K24" s="16"/>
      <c r="L24" s="16"/>
      <c r="M24" s="16"/>
      <c r="N24" s="16"/>
      <c r="O24" s="16"/>
      <c r="P24" s="16"/>
      <c r="Q24" s="16"/>
      <c r="R24" s="16"/>
      <c r="S24" s="24"/>
    </row>
    <row r="25" spans="1:19" x14ac:dyDescent="0.25">
      <c r="A25" s="23"/>
      <c r="B25" s="16"/>
      <c r="C25" s="16"/>
      <c r="D25" s="16"/>
      <c r="E25" s="16"/>
      <c r="F25" s="16"/>
      <c r="G25" s="16"/>
      <c r="H25" s="16"/>
      <c r="I25" s="16"/>
      <c r="J25" s="16"/>
      <c r="K25" s="16"/>
      <c r="L25" s="16"/>
      <c r="M25" s="16"/>
      <c r="N25" s="16"/>
      <c r="O25" s="16"/>
      <c r="P25" s="16"/>
      <c r="Q25" s="16"/>
      <c r="R25" s="16"/>
      <c r="S25" s="24"/>
    </row>
    <row r="26" spans="1:19" x14ac:dyDescent="0.25">
      <c r="A26" s="23"/>
      <c r="B26" s="16"/>
      <c r="C26" s="16"/>
      <c r="D26" s="16"/>
      <c r="E26" s="16"/>
      <c r="F26" s="16"/>
      <c r="G26" s="16"/>
      <c r="H26" s="16"/>
      <c r="I26" s="16"/>
      <c r="J26" s="16"/>
      <c r="K26" s="16"/>
      <c r="L26" s="16"/>
      <c r="M26" s="16"/>
      <c r="N26" s="16"/>
      <c r="O26" s="16"/>
      <c r="P26" s="16"/>
      <c r="Q26" s="16"/>
      <c r="R26" s="16"/>
      <c r="S26" s="24"/>
    </row>
    <row r="27" spans="1:19" x14ac:dyDescent="0.25">
      <c r="A27" s="23"/>
      <c r="B27" s="16"/>
      <c r="C27" s="16"/>
      <c r="D27" s="16"/>
      <c r="E27" s="16"/>
      <c r="F27" s="16"/>
      <c r="G27" s="16"/>
      <c r="H27" s="16"/>
      <c r="I27" s="16"/>
      <c r="J27" s="16"/>
      <c r="K27" s="16"/>
      <c r="L27" s="16"/>
      <c r="M27" s="16"/>
      <c r="N27" s="16"/>
      <c r="O27" s="16"/>
      <c r="P27" s="16"/>
      <c r="Q27" s="16"/>
      <c r="R27" s="16"/>
      <c r="S27" s="24"/>
    </row>
    <row r="28" spans="1:19" x14ac:dyDescent="0.25">
      <c r="A28" s="23"/>
      <c r="B28" s="16"/>
      <c r="C28" s="16"/>
      <c r="D28" s="16"/>
      <c r="E28" s="16"/>
      <c r="F28" s="16"/>
      <c r="G28" s="16"/>
      <c r="H28" s="16"/>
      <c r="I28" s="16"/>
      <c r="J28" s="16"/>
      <c r="K28" s="16"/>
      <c r="L28" s="16"/>
      <c r="M28" s="16"/>
      <c r="N28" s="16"/>
      <c r="O28" s="16"/>
      <c r="P28" s="16"/>
      <c r="Q28" s="16"/>
      <c r="R28" s="16"/>
      <c r="S28" s="24"/>
    </row>
    <row r="29" spans="1:19" x14ac:dyDescent="0.25">
      <c r="A29" s="23"/>
      <c r="B29" s="16"/>
      <c r="C29" s="16"/>
      <c r="D29" s="16"/>
      <c r="E29" s="16"/>
      <c r="F29" s="16"/>
      <c r="G29" s="16"/>
      <c r="H29" s="16"/>
      <c r="I29" s="16"/>
      <c r="J29" s="16"/>
      <c r="K29" s="16"/>
      <c r="L29" s="16"/>
      <c r="M29" s="16"/>
      <c r="N29" s="16"/>
      <c r="O29" s="16"/>
      <c r="P29" s="16"/>
      <c r="Q29" s="16"/>
      <c r="R29" s="16"/>
      <c r="S29" s="24"/>
    </row>
    <row r="30" spans="1:19" x14ac:dyDescent="0.25">
      <c r="A30" s="23"/>
      <c r="B30" s="16"/>
      <c r="C30" s="16"/>
      <c r="D30" s="16"/>
      <c r="E30" s="16"/>
      <c r="F30" s="16"/>
      <c r="G30" s="16"/>
      <c r="H30" s="16"/>
      <c r="I30" s="16"/>
      <c r="J30" s="16"/>
      <c r="K30" s="16"/>
      <c r="L30" s="16"/>
      <c r="M30" s="16"/>
      <c r="N30" s="16"/>
      <c r="O30" s="16"/>
      <c r="P30" s="16"/>
      <c r="Q30" s="16"/>
      <c r="R30" s="16"/>
      <c r="S30" s="24"/>
    </row>
    <row r="31" spans="1:19" x14ac:dyDescent="0.25">
      <c r="A31" s="23"/>
      <c r="B31" s="16"/>
      <c r="C31" s="16"/>
      <c r="D31" s="16"/>
      <c r="E31" s="16"/>
      <c r="F31" s="16"/>
      <c r="G31" s="16"/>
      <c r="H31" s="16"/>
      <c r="I31" s="16"/>
      <c r="J31" s="16"/>
      <c r="K31" s="16"/>
      <c r="L31" s="16"/>
      <c r="M31" s="16"/>
      <c r="N31" s="16"/>
      <c r="O31" s="16"/>
      <c r="P31" s="16"/>
      <c r="Q31" s="16"/>
      <c r="R31" s="16"/>
      <c r="S31" s="24"/>
    </row>
    <row r="32" spans="1:19" x14ac:dyDescent="0.25">
      <c r="A32" s="23"/>
      <c r="B32" s="16"/>
      <c r="C32" s="16"/>
      <c r="D32" s="16"/>
      <c r="E32" s="16"/>
      <c r="F32" s="16"/>
      <c r="G32" s="16"/>
      <c r="H32" s="16"/>
      <c r="I32" s="16"/>
      <c r="J32" s="16"/>
      <c r="K32" s="16"/>
      <c r="L32" s="16"/>
      <c r="M32" s="16"/>
      <c r="N32" s="16"/>
      <c r="O32" s="16"/>
      <c r="P32" s="16"/>
      <c r="Q32" s="16"/>
      <c r="R32" s="16"/>
      <c r="S32" s="24"/>
    </row>
    <row r="33" spans="1:19" x14ac:dyDescent="0.25">
      <c r="A33" s="23"/>
      <c r="B33" s="16"/>
      <c r="C33" s="16"/>
      <c r="D33" s="16"/>
      <c r="E33" s="16"/>
      <c r="F33" s="16"/>
      <c r="G33" s="16"/>
      <c r="H33" s="16"/>
      <c r="I33" s="16"/>
      <c r="J33" s="16"/>
      <c r="K33" s="16"/>
      <c r="L33" s="16"/>
      <c r="M33" s="16"/>
      <c r="N33" s="16"/>
      <c r="O33" s="16"/>
      <c r="P33" s="16"/>
      <c r="Q33" s="16"/>
      <c r="R33" s="16"/>
      <c r="S33" s="24"/>
    </row>
    <row r="34" spans="1:19" x14ac:dyDescent="0.25">
      <c r="A34" s="23"/>
      <c r="B34" s="16"/>
      <c r="C34" s="16"/>
      <c r="D34" s="16"/>
      <c r="E34" s="16"/>
      <c r="F34" s="16"/>
      <c r="G34" s="16"/>
      <c r="H34" s="16"/>
      <c r="I34" s="16"/>
      <c r="J34" s="16"/>
      <c r="K34" s="16"/>
      <c r="L34" s="16"/>
      <c r="M34" s="16"/>
      <c r="N34" s="16"/>
      <c r="O34" s="16"/>
      <c r="P34" s="16"/>
      <c r="Q34" s="16"/>
      <c r="R34" s="16"/>
      <c r="S34" s="24"/>
    </row>
    <row r="35" spans="1:19" x14ac:dyDescent="0.25">
      <c r="A35" s="23"/>
      <c r="B35" s="16"/>
      <c r="C35" s="16"/>
      <c r="D35" s="16"/>
      <c r="E35" s="16"/>
      <c r="F35" s="16"/>
      <c r="G35" s="16"/>
      <c r="H35" s="16"/>
      <c r="I35" s="16"/>
      <c r="J35" s="16"/>
      <c r="K35" s="16"/>
      <c r="L35" s="16"/>
      <c r="M35" s="16"/>
      <c r="N35" s="16"/>
      <c r="O35" s="16"/>
      <c r="P35" s="16"/>
      <c r="Q35" s="16"/>
      <c r="R35" s="16"/>
      <c r="S35" s="24"/>
    </row>
    <row r="36" spans="1:19" x14ac:dyDescent="0.25">
      <c r="A36" s="23"/>
      <c r="B36" s="16"/>
      <c r="C36" s="16"/>
      <c r="D36" s="16"/>
      <c r="E36" s="16"/>
      <c r="F36" s="16"/>
      <c r="G36" s="16"/>
      <c r="H36" s="16"/>
      <c r="I36" s="16"/>
      <c r="J36" s="16"/>
      <c r="K36" s="16"/>
      <c r="L36" s="16"/>
      <c r="M36" s="16"/>
      <c r="N36" s="16"/>
      <c r="O36" s="16"/>
      <c r="P36" s="16"/>
      <c r="Q36" s="16"/>
      <c r="R36" s="16"/>
      <c r="S36" s="24"/>
    </row>
    <row r="37" spans="1:19" x14ac:dyDescent="0.25">
      <c r="A37" s="23"/>
      <c r="B37" s="16"/>
      <c r="C37" s="16"/>
      <c r="D37" s="16"/>
      <c r="E37" s="16"/>
      <c r="F37" s="16"/>
      <c r="G37" s="16"/>
      <c r="H37" s="16"/>
      <c r="I37" s="16"/>
      <c r="J37" s="16"/>
      <c r="K37" s="16"/>
      <c r="L37" s="16"/>
      <c r="M37" s="16"/>
      <c r="N37" s="16"/>
      <c r="O37" s="16"/>
      <c r="P37" s="16"/>
      <c r="Q37" s="16"/>
      <c r="R37" s="16"/>
      <c r="S37" s="24"/>
    </row>
    <row r="38" spans="1:19" x14ac:dyDescent="0.25">
      <c r="A38" s="23"/>
      <c r="B38" s="16"/>
      <c r="C38" s="16"/>
      <c r="D38" s="16"/>
      <c r="E38" s="16"/>
      <c r="F38" s="16"/>
      <c r="G38" s="16"/>
      <c r="H38" s="16"/>
      <c r="I38" s="16"/>
      <c r="J38" s="16"/>
      <c r="K38" s="16"/>
      <c r="L38" s="16"/>
      <c r="M38" s="16"/>
      <c r="N38" s="16"/>
      <c r="O38" s="16"/>
      <c r="P38" s="16"/>
      <c r="Q38" s="16"/>
      <c r="R38" s="16"/>
      <c r="S38" s="24"/>
    </row>
    <row r="39" spans="1:19" x14ac:dyDescent="0.25">
      <c r="A39" s="23"/>
      <c r="B39" s="16"/>
      <c r="C39" s="16"/>
      <c r="D39" s="16"/>
      <c r="E39" s="16"/>
      <c r="F39" s="16"/>
      <c r="G39" s="16"/>
      <c r="H39" s="16"/>
      <c r="I39" s="16"/>
      <c r="J39" s="16"/>
      <c r="K39" s="16"/>
      <c r="L39" s="16"/>
      <c r="M39" s="16"/>
      <c r="N39" s="16"/>
      <c r="O39" s="16"/>
      <c r="P39" s="16"/>
      <c r="Q39" s="16"/>
      <c r="R39" s="16"/>
      <c r="S39" s="24"/>
    </row>
    <row r="40" spans="1:19" x14ac:dyDescent="0.25">
      <c r="A40" s="23"/>
      <c r="B40" s="16"/>
      <c r="C40" s="16"/>
      <c r="D40" s="16"/>
      <c r="E40" s="16"/>
      <c r="F40" s="16"/>
      <c r="G40" s="16"/>
      <c r="H40" s="16"/>
      <c r="I40" s="16"/>
      <c r="J40" s="16"/>
      <c r="K40" s="16"/>
      <c r="L40" s="16"/>
      <c r="M40" s="16"/>
      <c r="N40" s="16"/>
      <c r="O40" s="16"/>
      <c r="P40" s="16"/>
      <c r="Q40" s="16"/>
      <c r="R40" s="16"/>
      <c r="S40" s="24"/>
    </row>
    <row r="41" spans="1:19" x14ac:dyDescent="0.25">
      <c r="A41" s="23"/>
      <c r="B41" s="16"/>
      <c r="C41" s="16"/>
      <c r="D41" s="16"/>
      <c r="E41" s="16"/>
      <c r="F41" s="16"/>
      <c r="G41" s="16"/>
      <c r="H41" s="16"/>
      <c r="I41" s="16"/>
      <c r="J41" s="16"/>
      <c r="K41" s="16"/>
      <c r="L41" s="16"/>
      <c r="M41" s="16"/>
      <c r="N41" s="16"/>
      <c r="O41" s="16"/>
      <c r="P41" s="16"/>
      <c r="Q41" s="16"/>
      <c r="R41" s="16"/>
      <c r="S41" s="24"/>
    </row>
    <row r="42" spans="1:19" x14ac:dyDescent="0.25">
      <c r="A42" s="23"/>
      <c r="B42" s="16"/>
      <c r="C42" s="16"/>
      <c r="D42" s="16"/>
      <c r="E42" s="16"/>
      <c r="F42" s="16"/>
      <c r="G42" s="16"/>
      <c r="H42" s="16"/>
      <c r="I42" s="16"/>
      <c r="J42" s="16"/>
      <c r="K42" s="16"/>
      <c r="L42" s="16"/>
      <c r="M42" s="16"/>
      <c r="N42" s="16"/>
      <c r="O42" s="16"/>
      <c r="P42" s="16"/>
      <c r="Q42" s="16"/>
      <c r="R42" s="16"/>
      <c r="S42" s="24"/>
    </row>
    <row r="43" spans="1:19" x14ac:dyDescent="0.25">
      <c r="A43" s="23"/>
      <c r="B43" s="16"/>
      <c r="C43" s="16"/>
      <c r="D43" s="16"/>
      <c r="E43" s="16"/>
      <c r="F43" s="16"/>
      <c r="G43" s="16"/>
      <c r="H43" s="16"/>
      <c r="I43" s="16"/>
      <c r="J43" s="16"/>
      <c r="K43" s="16"/>
      <c r="L43" s="16"/>
      <c r="M43" s="16"/>
      <c r="N43" s="16"/>
      <c r="O43" s="16"/>
      <c r="P43" s="16"/>
      <c r="Q43" s="16"/>
      <c r="R43" s="16"/>
      <c r="S43" s="24"/>
    </row>
    <row r="44" spans="1:19" x14ac:dyDescent="0.25">
      <c r="A44" s="23"/>
      <c r="B44" s="16"/>
      <c r="C44" s="16"/>
      <c r="D44" s="16"/>
      <c r="E44" s="16"/>
      <c r="F44" s="16"/>
      <c r="G44" s="16"/>
      <c r="H44" s="16"/>
      <c r="I44" s="16"/>
      <c r="J44" s="16"/>
      <c r="K44" s="16"/>
      <c r="L44" s="16"/>
      <c r="M44" s="16"/>
      <c r="N44" s="16"/>
      <c r="O44" s="16"/>
      <c r="P44" s="16"/>
      <c r="Q44" s="16"/>
      <c r="R44" s="16"/>
      <c r="S44" s="24"/>
    </row>
    <row r="45" spans="1:19" x14ac:dyDescent="0.25">
      <c r="A45" s="23"/>
      <c r="B45" s="16"/>
      <c r="C45" s="16"/>
      <c r="D45" s="16"/>
      <c r="E45" s="16"/>
      <c r="F45" s="16"/>
      <c r="G45" s="16"/>
      <c r="H45" s="16"/>
      <c r="I45" s="16"/>
      <c r="J45" s="16"/>
      <c r="K45" s="16"/>
      <c r="L45" s="16"/>
      <c r="M45" s="16"/>
      <c r="N45" s="16"/>
      <c r="O45" s="16"/>
      <c r="P45" s="16"/>
      <c r="Q45" s="16"/>
      <c r="R45" s="16"/>
      <c r="S45" s="24"/>
    </row>
    <row r="46" spans="1:19" x14ac:dyDescent="0.25">
      <c r="A46" s="23"/>
      <c r="B46" s="16"/>
      <c r="C46" s="16"/>
      <c r="D46" s="16"/>
      <c r="E46" s="16"/>
      <c r="F46" s="16"/>
      <c r="G46" s="16"/>
      <c r="H46" s="16"/>
      <c r="I46" s="16"/>
      <c r="J46" s="16"/>
      <c r="K46" s="16"/>
      <c r="L46" s="16"/>
      <c r="M46" s="16"/>
      <c r="N46" s="16"/>
      <c r="O46" s="16"/>
      <c r="P46" s="16"/>
      <c r="Q46" s="16"/>
      <c r="R46" s="16"/>
      <c r="S46" s="24"/>
    </row>
    <row r="47" spans="1:19" x14ac:dyDescent="0.25">
      <c r="A47" s="23"/>
      <c r="B47" s="16"/>
      <c r="C47" s="16"/>
      <c r="D47" s="16"/>
      <c r="E47" s="16"/>
      <c r="F47" s="16"/>
      <c r="G47" s="16"/>
      <c r="H47" s="16"/>
      <c r="I47" s="16"/>
      <c r="J47" s="16"/>
      <c r="K47" s="16"/>
      <c r="L47" s="16"/>
      <c r="M47" s="16"/>
      <c r="N47" s="16"/>
      <c r="O47" s="16"/>
      <c r="P47" s="16"/>
      <c r="Q47" s="16"/>
      <c r="R47" s="16"/>
      <c r="S47" s="24"/>
    </row>
    <row r="48" spans="1:19" x14ac:dyDescent="0.25">
      <c r="A48" s="23"/>
      <c r="B48" s="16"/>
      <c r="C48" s="16"/>
      <c r="D48" s="16"/>
      <c r="E48" s="16"/>
      <c r="F48" s="16"/>
      <c r="G48" s="16"/>
      <c r="H48" s="16"/>
      <c r="I48" s="16"/>
      <c r="J48" s="16"/>
      <c r="K48" s="16"/>
      <c r="L48" s="16"/>
      <c r="M48" s="16"/>
      <c r="N48" s="16"/>
      <c r="O48" s="16"/>
      <c r="P48" s="16"/>
      <c r="Q48" s="16"/>
      <c r="R48" s="16"/>
      <c r="S48" s="24"/>
    </row>
    <row r="49" spans="1:19" x14ac:dyDescent="0.25">
      <c r="A49" s="23"/>
      <c r="B49" s="16"/>
      <c r="C49" s="16"/>
      <c r="D49" s="16"/>
      <c r="E49" s="16"/>
      <c r="F49" s="16"/>
      <c r="G49" s="16"/>
      <c r="H49" s="16"/>
      <c r="I49" s="16"/>
      <c r="J49" s="16"/>
      <c r="K49" s="16"/>
      <c r="L49" s="16"/>
      <c r="M49" s="16"/>
      <c r="N49" s="16"/>
      <c r="O49" s="16"/>
      <c r="P49" s="16"/>
      <c r="Q49" s="16"/>
      <c r="R49" s="16"/>
      <c r="S49" s="24"/>
    </row>
    <row r="50" spans="1:19" x14ac:dyDescent="0.25">
      <c r="A50" s="23"/>
      <c r="B50" s="16"/>
      <c r="C50" s="16"/>
      <c r="D50" s="16"/>
      <c r="E50" s="16"/>
      <c r="F50" s="16"/>
      <c r="G50" s="16"/>
      <c r="H50" s="16"/>
      <c r="I50" s="16"/>
      <c r="J50" s="16"/>
      <c r="K50" s="16"/>
      <c r="L50" s="16"/>
      <c r="M50" s="16"/>
      <c r="N50" s="16"/>
      <c r="O50" s="16"/>
      <c r="P50" s="16"/>
      <c r="Q50" s="16"/>
      <c r="R50" s="16"/>
      <c r="S50" s="24"/>
    </row>
    <row r="51" spans="1:19" x14ac:dyDescent="0.25">
      <c r="A51" s="23"/>
      <c r="B51" s="16"/>
      <c r="C51" s="16"/>
      <c r="D51" s="16"/>
      <c r="E51" s="16"/>
      <c r="F51" s="16"/>
      <c r="G51" s="16"/>
      <c r="H51" s="16"/>
      <c r="I51" s="16"/>
      <c r="J51" s="16"/>
      <c r="K51" s="16"/>
      <c r="L51" s="16"/>
      <c r="M51" s="16"/>
      <c r="N51" s="16"/>
      <c r="O51" s="16"/>
      <c r="P51" s="16"/>
      <c r="Q51" s="16"/>
      <c r="R51" s="16"/>
      <c r="S51" s="24"/>
    </row>
    <row r="52" spans="1:19" x14ac:dyDescent="0.25">
      <c r="A52" s="25"/>
      <c r="B52" s="26"/>
      <c r="C52" s="26"/>
      <c r="D52" s="26"/>
      <c r="E52" s="26"/>
      <c r="F52" s="26"/>
      <c r="G52" s="26"/>
      <c r="H52" s="26"/>
      <c r="I52" s="26"/>
      <c r="J52" s="26"/>
      <c r="K52" s="26"/>
      <c r="L52" s="26"/>
      <c r="M52" s="26"/>
      <c r="N52" s="26"/>
      <c r="O52" s="26"/>
      <c r="P52" s="26"/>
      <c r="Q52" s="26"/>
      <c r="R52" s="26"/>
      <c r="S52" s="27"/>
    </row>
  </sheetData>
  <mergeCells count="1">
    <mergeCell ref="A1:S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76345F2-0736-432A-8A48-51C3EA008E77}">
  <ds:schemaRefs/>
</ds:datastoreItem>
</file>

<file path=customXml/itemProps2.xml><?xml version="1.0" encoding="utf-8"?>
<ds:datastoreItem xmlns:ds="http://schemas.openxmlformats.org/officeDocument/2006/customXml" ds:itemID="{0D7AE001-9709-4898-8246-0E9B04CE3204}">
  <ds:schemaRefs/>
</ds:datastoreItem>
</file>

<file path=customXml/itemProps3.xml><?xml version="1.0" encoding="utf-8"?>
<ds:datastoreItem xmlns:ds="http://schemas.openxmlformats.org/officeDocument/2006/customXml" ds:itemID="{6C8A54DE-F0AC-4611-BE51-FA543C018B32}">
  <ds:schemaRefs/>
</ds:datastoreItem>
</file>

<file path=customXml/itemProps4.xml><?xml version="1.0" encoding="utf-8"?>
<ds:datastoreItem xmlns:ds="http://schemas.openxmlformats.org/officeDocument/2006/customXml" ds:itemID="{8EFC9BC6-DAA7-4E46-9D28-ACC7ABB6B85A}">
  <ds:schemaRefs/>
</ds:datastoreItem>
</file>

<file path=customXml/itemProps5.xml><?xml version="1.0" encoding="utf-8"?>
<ds:datastoreItem xmlns:ds="http://schemas.openxmlformats.org/officeDocument/2006/customXml" ds:itemID="{0364CC9C-AFED-4F00-B4F9-E34302196ABF}">
  <ds:schemaRefs/>
</ds:datastoreItem>
</file>

<file path=customXml/itemProps6.xml><?xml version="1.0" encoding="utf-8"?>
<ds:datastoreItem xmlns:ds="http://schemas.openxmlformats.org/officeDocument/2006/customXml" ds:itemID="{9C4AB1AD-734D-47F3-8AC8-7460D50D3BB8}">
  <ds:schemaRefs/>
</ds:datastoreItem>
</file>

<file path=customXml/itemProps7.xml><?xml version="1.0" encoding="utf-8"?>
<ds:datastoreItem xmlns:ds="http://schemas.openxmlformats.org/officeDocument/2006/customXml" ds:itemID="{8A5387EC-10DD-42AE-8483-B528360708ED}">
  <ds:schemaRefs/>
</ds:datastoreItem>
</file>

<file path=customXml/itemProps8.xml><?xml version="1.0" encoding="utf-8"?>
<ds:datastoreItem xmlns:ds="http://schemas.openxmlformats.org/officeDocument/2006/customXml" ds:itemID="{50229373-6A72-4BF0-AE05-8D14DD7CF364}">
  <ds:schemaRefs/>
</ds:datastoreItem>
</file>

<file path=customXml/itemProps9.xml><?xml version="1.0" encoding="utf-8"?>
<ds:datastoreItem xmlns:ds="http://schemas.openxmlformats.org/officeDocument/2006/customXml" ds:itemID="{90E5F9B0-F7D2-4CB1-AAE4-06249F8ABDFE}">
  <ds:schemaRefs/>
</ds:datastoreItem>
</file>

<file path=customXml/itemProps10.xml><?xml version="1.0" encoding="utf-8"?>
<ds:datastoreItem xmlns:ds="http://schemas.openxmlformats.org/officeDocument/2006/customXml" ds:itemID="{3F65CD17-47F3-4C00-9F5E-B649C1558597}">
  <ds:schemaRefs/>
</ds:datastoreItem>
</file>

<file path=customXml/itemProps11.xml><?xml version="1.0" encoding="utf-8"?>
<ds:datastoreItem xmlns:ds="http://schemas.openxmlformats.org/officeDocument/2006/customXml" ds:itemID="{E450339E-568F-4113-BD05-BDCA8751EA1E}">
  <ds:schemaRefs/>
</ds:datastoreItem>
</file>

<file path=customXml/itemProps12.xml><?xml version="1.0" encoding="utf-8"?>
<ds:datastoreItem xmlns:ds="http://schemas.openxmlformats.org/officeDocument/2006/customXml" ds:itemID="{5E2C8D1C-3876-4388-8769-406B841C8121}">
  <ds:schemaRefs/>
</ds:datastoreItem>
</file>

<file path=customXml/itemProps13.xml><?xml version="1.0" encoding="utf-8"?>
<ds:datastoreItem xmlns:ds="http://schemas.openxmlformats.org/officeDocument/2006/customXml" ds:itemID="{B28EC1CC-8177-49A4-9E92-3EAB9E41275F}">
  <ds:schemaRefs/>
</ds:datastoreItem>
</file>

<file path=customXml/itemProps14.xml><?xml version="1.0" encoding="utf-8"?>
<ds:datastoreItem xmlns:ds="http://schemas.openxmlformats.org/officeDocument/2006/customXml" ds:itemID="{63A14A27-FE8E-4095-B7A6-541C187C4317}">
  <ds:schemaRefs/>
</ds:datastoreItem>
</file>

<file path=customXml/itemProps15.xml><?xml version="1.0" encoding="utf-8"?>
<ds:datastoreItem xmlns:ds="http://schemas.openxmlformats.org/officeDocument/2006/customXml" ds:itemID="{40C7A2F5-AD7B-48BB-A63D-7027C28F1D57}">
  <ds:schemaRefs>
    <ds:schemaRef ds:uri="http://schemas.microsoft.com/DataMashup"/>
  </ds:schemaRefs>
</ds:datastoreItem>
</file>

<file path=customXml/itemProps16.xml><?xml version="1.0" encoding="utf-8"?>
<ds:datastoreItem xmlns:ds="http://schemas.openxmlformats.org/officeDocument/2006/customXml" ds:itemID="{07042A2A-5A21-4211-8A66-651520C2182E}">
  <ds:schemaRefs/>
</ds:datastoreItem>
</file>

<file path=customXml/itemProps17.xml><?xml version="1.0" encoding="utf-8"?>
<ds:datastoreItem xmlns:ds="http://schemas.openxmlformats.org/officeDocument/2006/customXml" ds:itemID="{8C87B192-3A9A-471C-8655-ACA7F10CDD7F}">
  <ds:schemaRefs/>
</ds:datastoreItem>
</file>

<file path=customXml/itemProps18.xml><?xml version="1.0" encoding="utf-8"?>
<ds:datastoreItem xmlns:ds="http://schemas.openxmlformats.org/officeDocument/2006/customXml" ds:itemID="{4F2695BA-380E-41D7-AD8B-A8FFE757D5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jewels</vt:lpstr>
      <vt:lpstr>Custom Calendar</vt:lpstr>
      <vt:lpstr>Pivot-1</vt:lpstr>
      <vt:lpstr>Pivot-2</vt:lpstr>
      <vt:lpstr>Pivot-3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Desai</dc:creator>
  <cp:lastModifiedBy>Sunil Desai</cp:lastModifiedBy>
  <dcterms:created xsi:type="dcterms:W3CDTF">2015-06-05T18:17:20Z</dcterms:created>
  <dcterms:modified xsi:type="dcterms:W3CDTF">2026-01-03T07:26:11Z</dcterms:modified>
</cp:coreProperties>
</file>